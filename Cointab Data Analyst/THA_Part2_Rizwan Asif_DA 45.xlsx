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if\Desktop\THA_PART 2_DA_Rizwan_08.10.2023\"/>
    </mc:Choice>
  </mc:AlternateContent>
  <xr:revisionPtr revIDLastSave="0" documentId="13_ncr:1_{D30E02DE-396D-4FFF-AE3B-038A5BC1FF5C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Invoice_Courier Company" sheetId="3" r:id="rId1"/>
    <sheet name="SKU_Company" sheetId="4" r:id="rId2"/>
    <sheet name="Rates_Courier Company" sheetId="1" r:id="rId3"/>
    <sheet name="Zones Pincode_Company X" sheetId="2" r:id="rId4"/>
    <sheet name="Order Report_Company X" sheetId="5" r:id="rId5"/>
    <sheet name="Total Calculations_Company" sheetId="7" r:id="rId6"/>
    <sheet name="Summary Table_Company" sheetId="6" r:id="rId7"/>
    <sheet name="Order Level Calculation_Company" sheetId="8" r:id="rId8"/>
  </sheets>
  <definedNames>
    <definedName name="_xlnm._FilterDatabase" localSheetId="2" hidden="1">'Rates_Courier Company'!$A$1:$T$2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 a="1"/>
  <c r="J3" i="8" s="1"/>
  <c r="J4" i="8" a="1"/>
  <c r="J4" i="8"/>
  <c r="J5" i="8" a="1"/>
  <c r="J5" i="8" s="1"/>
  <c r="J6" i="8" a="1"/>
  <c r="J6" i="8"/>
  <c r="J7" i="8" a="1"/>
  <c r="J7" i="8" s="1"/>
  <c r="J8" i="8" a="1"/>
  <c r="J8" i="8"/>
  <c r="J9" i="8" a="1"/>
  <c r="J9" i="8" s="1"/>
  <c r="J10" i="8" a="1"/>
  <c r="J10" i="8"/>
  <c r="J11" i="8" a="1"/>
  <c r="J11" i="8" s="1"/>
  <c r="J12" i="8" a="1"/>
  <c r="J12" i="8"/>
  <c r="J13" i="8" a="1"/>
  <c r="J13" i="8" s="1"/>
  <c r="J14" i="8" a="1"/>
  <c r="J14" i="8"/>
  <c r="J15" i="8" a="1"/>
  <c r="J15" i="8" s="1"/>
  <c r="J16" i="8" a="1"/>
  <c r="J16" i="8"/>
  <c r="J17" i="8" a="1"/>
  <c r="J17" i="8" s="1"/>
  <c r="J18" i="8" a="1"/>
  <c r="J18" i="8"/>
  <c r="J19" i="8" a="1"/>
  <c r="J19" i="8" s="1"/>
  <c r="J20" i="8" a="1"/>
  <c r="J20" i="8"/>
  <c r="J21" i="8" a="1"/>
  <c r="J21" i="8" s="1"/>
  <c r="J22" i="8" a="1"/>
  <c r="J22" i="8"/>
  <c r="J23" i="8" a="1"/>
  <c r="J23" i="8" s="1"/>
  <c r="J24" i="8" a="1"/>
  <c r="J24" i="8"/>
  <c r="J25" i="8" a="1"/>
  <c r="J25" i="8" s="1"/>
  <c r="J26" i="8" a="1"/>
  <c r="J26" i="8"/>
  <c r="J27" i="8" a="1"/>
  <c r="J27" i="8" s="1"/>
  <c r="J28" i="8" a="1"/>
  <c r="J28" i="8"/>
  <c r="J29" i="8" a="1"/>
  <c r="J29" i="8" s="1"/>
  <c r="J30" i="8" a="1"/>
  <c r="J30" i="8"/>
  <c r="J31" i="8" a="1"/>
  <c r="J31" i="8" s="1"/>
  <c r="J32" i="8" a="1"/>
  <c r="J32" i="8"/>
  <c r="J33" i="8" a="1"/>
  <c r="J33" i="8" s="1"/>
  <c r="J34" i="8" a="1"/>
  <c r="J34" i="8"/>
  <c r="J35" i="8" a="1"/>
  <c r="J35" i="8" s="1"/>
  <c r="J36" i="8" a="1"/>
  <c r="J36" i="8"/>
  <c r="J37" i="8" a="1"/>
  <c r="J37" i="8" s="1"/>
  <c r="J38" i="8" a="1"/>
  <c r="J38" i="8"/>
  <c r="J39" i="8" a="1"/>
  <c r="J39" i="8" s="1"/>
  <c r="J40" i="8" a="1"/>
  <c r="J40" i="8"/>
  <c r="J41" i="8" a="1"/>
  <c r="J41" i="8" s="1"/>
  <c r="J42" i="8" a="1"/>
  <c r="J42" i="8"/>
  <c r="J43" i="8" a="1"/>
  <c r="J43" i="8" s="1"/>
  <c r="J44" i="8" a="1"/>
  <c r="J44" i="8"/>
  <c r="J45" i="8" a="1"/>
  <c r="J45" i="8" s="1"/>
  <c r="J46" i="8" a="1"/>
  <c r="J46" i="8"/>
  <c r="J47" i="8" a="1"/>
  <c r="J47" i="8" s="1"/>
  <c r="J48" i="8" a="1"/>
  <c r="J48" i="8"/>
  <c r="J49" i="8" a="1"/>
  <c r="J49" i="8" s="1"/>
  <c r="J50" i="8" a="1"/>
  <c r="J50" i="8"/>
  <c r="J51" i="8" a="1"/>
  <c r="J51" i="8" s="1"/>
  <c r="J52" i="8" a="1"/>
  <c r="J52" i="8"/>
  <c r="J53" i="8" a="1"/>
  <c r="J53" i="8" s="1"/>
  <c r="J54" i="8" a="1"/>
  <c r="J54" i="8"/>
  <c r="J55" i="8" a="1"/>
  <c r="J55" i="8" s="1"/>
  <c r="J56" i="8" a="1"/>
  <c r="J56" i="8"/>
  <c r="J57" i="8" a="1"/>
  <c r="J57" i="8" s="1"/>
  <c r="J58" i="8" a="1"/>
  <c r="J58" i="8"/>
  <c r="J59" i="8" a="1"/>
  <c r="J59" i="8" s="1"/>
  <c r="J60" i="8" a="1"/>
  <c r="J60" i="8"/>
  <c r="J61" i="8" a="1"/>
  <c r="J61" i="8" s="1"/>
  <c r="J62" i="8" a="1"/>
  <c r="J62" i="8"/>
  <c r="J63" i="8" a="1"/>
  <c r="J63" i="8" s="1"/>
  <c r="J64" i="8" a="1"/>
  <c r="J64" i="8"/>
  <c r="J65" i="8" a="1"/>
  <c r="J65" i="8" s="1"/>
  <c r="J66" i="8" a="1"/>
  <c r="J66" i="8"/>
  <c r="J67" i="8" a="1"/>
  <c r="J67" i="8" s="1"/>
  <c r="J68" i="8" a="1"/>
  <c r="J68" i="8"/>
  <c r="J69" i="8" a="1"/>
  <c r="J69" i="8" s="1"/>
  <c r="J70" i="8" a="1"/>
  <c r="J70" i="8"/>
  <c r="J71" i="8" a="1"/>
  <c r="J71" i="8" s="1"/>
  <c r="J72" i="8" a="1"/>
  <c r="J72" i="8"/>
  <c r="J73" i="8" a="1"/>
  <c r="J73" i="8" s="1"/>
  <c r="J74" i="8" a="1"/>
  <c r="J74" i="8"/>
  <c r="J75" i="8" a="1"/>
  <c r="J75" i="8" s="1"/>
  <c r="J76" i="8" a="1"/>
  <c r="J76" i="8"/>
  <c r="J77" i="8" a="1"/>
  <c r="J77" i="8" s="1"/>
  <c r="J78" i="8" a="1"/>
  <c r="J78" i="8"/>
  <c r="J79" i="8" a="1"/>
  <c r="J79" i="8" s="1"/>
  <c r="J80" i="8" a="1"/>
  <c r="J80" i="8"/>
  <c r="J81" i="8" a="1"/>
  <c r="J81" i="8" s="1"/>
  <c r="J82" i="8" a="1"/>
  <c r="J82" i="8"/>
  <c r="J83" i="8" a="1"/>
  <c r="J83" i="8" s="1"/>
  <c r="J84" i="8" a="1"/>
  <c r="J84" i="8"/>
  <c r="J85" i="8" a="1"/>
  <c r="J85" i="8" s="1"/>
  <c r="J86" i="8" a="1"/>
  <c r="J86" i="8"/>
  <c r="J87" i="8" a="1"/>
  <c r="J87" i="8" s="1"/>
  <c r="J88" i="8" a="1"/>
  <c r="J88" i="8"/>
  <c r="J89" i="8" a="1"/>
  <c r="J89" i="8" s="1"/>
  <c r="J90" i="8" a="1"/>
  <c r="J90" i="8"/>
  <c r="J91" i="8" a="1"/>
  <c r="J91" i="8" s="1"/>
  <c r="J92" i="8" a="1"/>
  <c r="J92" i="8"/>
  <c r="J93" i="8" a="1"/>
  <c r="J93" i="8" s="1"/>
  <c r="J94" i="8" a="1"/>
  <c r="J94" i="8"/>
  <c r="J95" i="8" a="1"/>
  <c r="J95" i="8" s="1"/>
  <c r="J96" i="8" a="1"/>
  <c r="J96" i="8"/>
  <c r="J97" i="8" a="1"/>
  <c r="J97" i="8" s="1"/>
  <c r="J98" i="8" a="1"/>
  <c r="J98" i="8"/>
  <c r="J99" i="8" a="1"/>
  <c r="J99" i="8" s="1"/>
  <c r="J100" i="8" a="1"/>
  <c r="J100" i="8"/>
  <c r="J101" i="8" a="1"/>
  <c r="J101" i="8" s="1"/>
  <c r="J102" i="8" a="1"/>
  <c r="J102" i="8"/>
  <c r="J103" i="8" a="1"/>
  <c r="J103" i="8" s="1"/>
  <c r="J104" i="8" a="1"/>
  <c r="J104" i="8"/>
  <c r="J105" i="8" a="1"/>
  <c r="J105" i="8" s="1"/>
  <c r="J106" i="8" a="1"/>
  <c r="J106" i="8"/>
  <c r="J107" i="8" a="1"/>
  <c r="J107" i="8" s="1"/>
  <c r="J108" i="8" a="1"/>
  <c r="J108" i="8"/>
  <c r="J109" i="8" a="1"/>
  <c r="J109" i="8" s="1"/>
  <c r="J110" i="8" a="1"/>
  <c r="J110" i="8"/>
  <c r="J111" i="8" a="1"/>
  <c r="J111" i="8" s="1"/>
  <c r="J112" i="8" a="1"/>
  <c r="J112" i="8"/>
  <c r="J113" i="8" a="1"/>
  <c r="J113" i="8" s="1"/>
  <c r="J114" i="8" a="1"/>
  <c r="J114" i="8"/>
  <c r="J115" i="8" a="1"/>
  <c r="J115" i="8" s="1"/>
  <c r="J116" i="8" a="1"/>
  <c r="J116" i="8"/>
  <c r="J117" i="8" a="1"/>
  <c r="J117" i="8" s="1"/>
  <c r="J118" i="8" a="1"/>
  <c r="J118" i="8"/>
  <c r="J119" i="8" a="1"/>
  <c r="J119" i="8" s="1"/>
  <c r="J120" i="8" a="1"/>
  <c r="J120" i="8"/>
  <c r="J121" i="8" a="1"/>
  <c r="J121" i="8" s="1"/>
  <c r="J122" i="8" a="1"/>
  <c r="J122" i="8"/>
  <c r="J123" i="8" a="1"/>
  <c r="J123" i="8" s="1"/>
  <c r="J124" i="8" a="1"/>
  <c r="J124" i="8"/>
  <c r="J125" i="8" a="1"/>
  <c r="J125" i="8" s="1"/>
  <c r="J2" i="8" a="1"/>
  <c r="J2" i="8" s="1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G3" i="8"/>
  <c r="G4" i="8"/>
  <c r="G5" i="8"/>
  <c r="G6" i="8"/>
  <c r="I6" i="8" s="1" a="1"/>
  <c r="I6" i="8" s="1"/>
  <c r="G7" i="8"/>
  <c r="G8" i="8"/>
  <c r="G9" i="8"/>
  <c r="G10" i="8"/>
  <c r="G11" i="8"/>
  <c r="G12" i="8"/>
  <c r="G13" i="8"/>
  <c r="G14" i="8"/>
  <c r="G15" i="8"/>
  <c r="G16" i="8"/>
  <c r="G17" i="8"/>
  <c r="I17" i="8" s="1" a="1"/>
  <c r="I17" i="8" s="1"/>
  <c r="G18" i="8"/>
  <c r="I18" i="8" s="1" a="1"/>
  <c r="I18" i="8" s="1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I45" i="8" s="1" a="1"/>
  <c r="I45" i="8" s="1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I82" i="8" s="1" a="1"/>
  <c r="I82" i="8" s="1"/>
  <c r="G83" i="8"/>
  <c r="G84" i="8"/>
  <c r="G85" i="8"/>
  <c r="G86" i="8"/>
  <c r="G87" i="8"/>
  <c r="G88" i="8"/>
  <c r="G89" i="8"/>
  <c r="G90" i="8"/>
  <c r="I90" i="8" s="1" a="1"/>
  <c r="I90" i="8" s="1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2" i="8"/>
  <c r="I2" i="8" s="1" a="1"/>
  <c r="I2" i="8" s="1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2" i="8"/>
  <c r="Q3" i="8"/>
  <c r="R3" i="8" s="1"/>
  <c r="Q4" i="8"/>
  <c r="R4" i="8" s="1"/>
  <c r="Q5" i="8"/>
  <c r="R5" i="8" s="1"/>
  <c r="Q6" i="8"/>
  <c r="R6" i="8" s="1"/>
  <c r="Q7" i="8"/>
  <c r="R7" i="8" s="1"/>
  <c r="Q8" i="8"/>
  <c r="R8" i="8" s="1"/>
  <c r="Q9" i="8"/>
  <c r="R9" i="8" s="1"/>
  <c r="Q10" i="8"/>
  <c r="R10" i="8" s="1"/>
  <c r="Q11" i="8"/>
  <c r="R11" i="8" s="1"/>
  <c r="Q12" i="8"/>
  <c r="R12" i="8" s="1"/>
  <c r="Q13" i="8"/>
  <c r="R13" i="8" s="1"/>
  <c r="Q14" i="8"/>
  <c r="R14" i="8" s="1"/>
  <c r="Q15" i="8"/>
  <c r="R15" i="8" s="1"/>
  <c r="Q16" i="8"/>
  <c r="R16" i="8" s="1"/>
  <c r="Q17" i="8"/>
  <c r="R17" i="8" s="1"/>
  <c r="Q18" i="8"/>
  <c r="R18" i="8" s="1"/>
  <c r="Q19" i="8"/>
  <c r="R19" i="8" s="1"/>
  <c r="Q20" i="8"/>
  <c r="R20" i="8" s="1"/>
  <c r="Q21" i="8"/>
  <c r="R21" i="8" s="1"/>
  <c r="Q22" i="8"/>
  <c r="R22" i="8" s="1"/>
  <c r="Q23" i="8"/>
  <c r="R23" i="8" s="1"/>
  <c r="Q24" i="8"/>
  <c r="R24" i="8" s="1"/>
  <c r="Q25" i="8"/>
  <c r="R25" i="8" s="1"/>
  <c r="Q26" i="8"/>
  <c r="R26" i="8" s="1"/>
  <c r="Q27" i="8"/>
  <c r="R27" i="8" s="1"/>
  <c r="Q28" i="8"/>
  <c r="R28" i="8" s="1"/>
  <c r="Q29" i="8"/>
  <c r="R29" i="8" s="1"/>
  <c r="Q30" i="8"/>
  <c r="R30" i="8" s="1"/>
  <c r="Q31" i="8"/>
  <c r="R31" i="8" s="1"/>
  <c r="Q32" i="8"/>
  <c r="R32" i="8" s="1"/>
  <c r="Q33" i="8"/>
  <c r="R33" i="8" s="1"/>
  <c r="Q34" i="8"/>
  <c r="R34" i="8" s="1"/>
  <c r="Q35" i="8"/>
  <c r="R35" i="8" s="1"/>
  <c r="Q36" i="8"/>
  <c r="R36" i="8" s="1"/>
  <c r="Q37" i="8"/>
  <c r="R37" i="8" s="1"/>
  <c r="Q38" i="8"/>
  <c r="R38" i="8" s="1"/>
  <c r="Q39" i="8"/>
  <c r="R39" i="8" s="1"/>
  <c r="Q40" i="8"/>
  <c r="R40" i="8" s="1"/>
  <c r="Q41" i="8"/>
  <c r="R41" i="8" s="1"/>
  <c r="Q42" i="8"/>
  <c r="R42" i="8" s="1"/>
  <c r="Q43" i="8"/>
  <c r="R43" i="8" s="1"/>
  <c r="Q44" i="8"/>
  <c r="R44" i="8" s="1"/>
  <c r="Q45" i="8"/>
  <c r="R45" i="8" s="1"/>
  <c r="Q46" i="8"/>
  <c r="R46" i="8" s="1"/>
  <c r="Q47" i="8"/>
  <c r="R47" i="8" s="1"/>
  <c r="Q48" i="8"/>
  <c r="R48" i="8" s="1"/>
  <c r="Q49" i="8"/>
  <c r="R49" i="8" s="1"/>
  <c r="Q50" i="8"/>
  <c r="R50" i="8" s="1"/>
  <c r="Q51" i="8"/>
  <c r="R51" i="8" s="1"/>
  <c r="Q52" i="8"/>
  <c r="R52" i="8" s="1"/>
  <c r="Q53" i="8"/>
  <c r="R53" i="8" s="1"/>
  <c r="Q54" i="8"/>
  <c r="R54" i="8" s="1"/>
  <c r="Q55" i="8"/>
  <c r="R55" i="8" s="1"/>
  <c r="Q56" i="8"/>
  <c r="R56" i="8" s="1"/>
  <c r="Q57" i="8"/>
  <c r="R57" i="8" s="1"/>
  <c r="Q58" i="8"/>
  <c r="R58" i="8" s="1"/>
  <c r="Q59" i="8"/>
  <c r="R59" i="8" s="1"/>
  <c r="Q60" i="8"/>
  <c r="R60" i="8" s="1"/>
  <c r="Q61" i="8"/>
  <c r="R61" i="8" s="1"/>
  <c r="Q62" i="8"/>
  <c r="R62" i="8" s="1"/>
  <c r="Q63" i="8"/>
  <c r="R63" i="8" s="1"/>
  <c r="Q64" i="8"/>
  <c r="R64" i="8" s="1"/>
  <c r="Q65" i="8"/>
  <c r="R65" i="8" s="1"/>
  <c r="Q66" i="8"/>
  <c r="R66" i="8" s="1"/>
  <c r="Q67" i="8"/>
  <c r="R67" i="8" s="1"/>
  <c r="Q68" i="8"/>
  <c r="R68" i="8" s="1"/>
  <c r="Q69" i="8"/>
  <c r="R69" i="8" s="1"/>
  <c r="Q70" i="8"/>
  <c r="R70" i="8" s="1"/>
  <c r="Q71" i="8"/>
  <c r="R71" i="8" s="1"/>
  <c r="Q72" i="8"/>
  <c r="R72" i="8" s="1"/>
  <c r="Q73" i="8"/>
  <c r="R73" i="8" s="1"/>
  <c r="Q74" i="8"/>
  <c r="R74" i="8" s="1"/>
  <c r="Q75" i="8"/>
  <c r="R75" i="8" s="1"/>
  <c r="Q76" i="8"/>
  <c r="R76" i="8" s="1"/>
  <c r="Q77" i="8"/>
  <c r="R77" i="8" s="1"/>
  <c r="Q78" i="8"/>
  <c r="R78" i="8" s="1"/>
  <c r="Q79" i="8"/>
  <c r="R79" i="8" s="1"/>
  <c r="Q80" i="8"/>
  <c r="R80" i="8" s="1"/>
  <c r="Q81" i="8"/>
  <c r="R81" i="8" s="1"/>
  <c r="Q82" i="8"/>
  <c r="R82" i="8" s="1"/>
  <c r="Q83" i="8"/>
  <c r="R83" i="8" s="1"/>
  <c r="Q84" i="8"/>
  <c r="R84" i="8" s="1"/>
  <c r="Q85" i="8"/>
  <c r="R85" i="8" s="1"/>
  <c r="Q86" i="8"/>
  <c r="R86" i="8" s="1"/>
  <c r="Q87" i="8"/>
  <c r="R87" i="8" s="1"/>
  <c r="Q88" i="8"/>
  <c r="R88" i="8" s="1"/>
  <c r="Q89" i="8"/>
  <c r="R89" i="8" s="1"/>
  <c r="Q90" i="8"/>
  <c r="R90" i="8" s="1"/>
  <c r="Q91" i="8"/>
  <c r="R91" i="8" s="1"/>
  <c r="Q92" i="8"/>
  <c r="R92" i="8" s="1"/>
  <c r="Q93" i="8"/>
  <c r="R93" i="8" s="1"/>
  <c r="Q94" i="8"/>
  <c r="R94" i="8" s="1"/>
  <c r="Q95" i="8"/>
  <c r="R95" i="8" s="1"/>
  <c r="Q96" i="8"/>
  <c r="R96" i="8" s="1"/>
  <c r="Q97" i="8"/>
  <c r="R97" i="8" s="1"/>
  <c r="Q98" i="8"/>
  <c r="R98" i="8" s="1"/>
  <c r="Q99" i="8"/>
  <c r="R99" i="8" s="1"/>
  <c r="Q100" i="8"/>
  <c r="R100" i="8" s="1"/>
  <c r="Q101" i="8"/>
  <c r="R101" i="8" s="1"/>
  <c r="Q102" i="8"/>
  <c r="R102" i="8" s="1"/>
  <c r="Q103" i="8"/>
  <c r="R103" i="8" s="1"/>
  <c r="Q104" i="8"/>
  <c r="R104" i="8" s="1"/>
  <c r="Q105" i="8"/>
  <c r="R105" i="8" s="1"/>
  <c r="Q106" i="8"/>
  <c r="R106" i="8" s="1"/>
  <c r="Q107" i="8"/>
  <c r="R107" i="8" s="1"/>
  <c r="Q108" i="8"/>
  <c r="R108" i="8" s="1"/>
  <c r="Q109" i="8"/>
  <c r="R109" i="8" s="1"/>
  <c r="Q110" i="8"/>
  <c r="R110" i="8" s="1"/>
  <c r="Q111" i="8"/>
  <c r="R111" i="8" s="1"/>
  <c r="Q112" i="8"/>
  <c r="R112" i="8" s="1"/>
  <c r="Q113" i="8"/>
  <c r="R113" i="8" s="1"/>
  <c r="Q114" i="8"/>
  <c r="R114" i="8" s="1"/>
  <c r="Q115" i="8"/>
  <c r="R115" i="8" s="1"/>
  <c r="Q116" i="8"/>
  <c r="R116" i="8" s="1"/>
  <c r="Q117" i="8"/>
  <c r="R117" i="8" s="1"/>
  <c r="Q118" i="8"/>
  <c r="R118" i="8" s="1"/>
  <c r="Q119" i="8"/>
  <c r="R119" i="8" s="1"/>
  <c r="Q120" i="8"/>
  <c r="R120" i="8" s="1"/>
  <c r="Q121" i="8"/>
  <c r="R121" i="8" s="1"/>
  <c r="Q122" i="8"/>
  <c r="R122" i="8" s="1"/>
  <c r="Q123" i="8"/>
  <c r="R123" i="8" s="1"/>
  <c r="Q124" i="8"/>
  <c r="R124" i="8" s="1"/>
  <c r="Q125" i="8"/>
  <c r="R125" i="8" s="1"/>
  <c r="Q2" i="8"/>
  <c r="R2" i="8" s="1"/>
  <c r="I20" i="8" a="1"/>
  <c r="I20" i="8" s="1"/>
  <c r="I103" i="8" a="1"/>
  <c r="I103" i="8" s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2" i="8"/>
  <c r="E3" i="5"/>
  <c r="E4" i="5"/>
  <c r="E5" i="5"/>
  <c r="E6" i="5"/>
  <c r="E7" i="5"/>
  <c r="E8" i="5"/>
  <c r="E9" i="5"/>
  <c r="E10" i="5"/>
  <c r="I11" i="8" s="1" a="1"/>
  <c r="I11" i="8" s="1"/>
  <c r="E11" i="5"/>
  <c r="E12" i="5"/>
  <c r="E13" i="5"/>
  <c r="E14" i="5"/>
  <c r="E15" i="5"/>
  <c r="E16" i="5"/>
  <c r="E17" i="5"/>
  <c r="I15" i="8" s="1" a="1"/>
  <c r="I15" i="8" s="1"/>
  <c r="E18" i="5"/>
  <c r="I19" i="8" s="1" a="1"/>
  <c r="I19" i="8" s="1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I35" i="8" s="1" a="1"/>
  <c r="I35" i="8" s="1"/>
  <c r="E38" i="5"/>
  <c r="E39" i="5"/>
  <c r="E40" i="5"/>
  <c r="E41" i="5"/>
  <c r="E42" i="5"/>
  <c r="E43" i="5"/>
  <c r="E44" i="5"/>
  <c r="E45" i="5"/>
  <c r="E46" i="5"/>
  <c r="I47" i="8" s="1" a="1"/>
  <c r="I47" i="8" s="1"/>
  <c r="E47" i="5"/>
  <c r="E48" i="5"/>
  <c r="E49" i="5"/>
  <c r="E50" i="5"/>
  <c r="E51" i="5"/>
  <c r="E52" i="5"/>
  <c r="E53" i="5"/>
  <c r="I52" i="8" s="1" a="1"/>
  <c r="I52" i="8" s="1"/>
  <c r="E54" i="5"/>
  <c r="E55" i="5"/>
  <c r="E56" i="5"/>
  <c r="E57" i="5"/>
  <c r="E58" i="5"/>
  <c r="E59" i="5"/>
  <c r="E60" i="5"/>
  <c r="E61" i="5"/>
  <c r="E62" i="5"/>
  <c r="I63" i="8" s="1" a="1"/>
  <c r="I63" i="8" s="1"/>
  <c r="E63" i="5"/>
  <c r="E64" i="5"/>
  <c r="E65" i="5"/>
  <c r="E66" i="5"/>
  <c r="E67" i="5"/>
  <c r="E68" i="5"/>
  <c r="E69" i="5"/>
  <c r="E70" i="5"/>
  <c r="E71" i="5"/>
  <c r="E72" i="5"/>
  <c r="E73" i="5"/>
  <c r="E74" i="5"/>
  <c r="I75" i="8" s="1" a="1"/>
  <c r="I75" i="8" s="1"/>
  <c r="E75" i="5"/>
  <c r="E76" i="5"/>
  <c r="E77" i="5"/>
  <c r="E78" i="5"/>
  <c r="I79" i="8" s="1" a="1"/>
  <c r="I79" i="8" s="1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I96" i="8" s="1" a="1"/>
  <c r="I96" i="8" s="1"/>
  <c r="E98" i="5"/>
  <c r="E99" i="5"/>
  <c r="E100" i="5"/>
  <c r="E101" i="5"/>
  <c r="E102" i="5"/>
  <c r="E103" i="5"/>
  <c r="E104" i="5"/>
  <c r="E105" i="5"/>
  <c r="E106" i="5"/>
  <c r="E107" i="5"/>
  <c r="E108" i="5"/>
  <c r="E109" i="5"/>
  <c r="I111" i="8" s="1" a="1"/>
  <c r="I111" i="8" s="1"/>
  <c r="E110" i="5"/>
  <c r="E111" i="5"/>
  <c r="E112" i="5"/>
  <c r="E113" i="5"/>
  <c r="I115" i="8" s="1" a="1"/>
  <c r="I115" i="8" s="1"/>
  <c r="E114" i="5"/>
  <c r="E115" i="5"/>
  <c r="E116" i="5"/>
  <c r="E117" i="5"/>
  <c r="I119" i="8" s="1" a="1"/>
  <c r="I119" i="8" s="1"/>
  <c r="E118" i="5"/>
  <c r="E119" i="5"/>
  <c r="E120" i="5"/>
  <c r="E121" i="5"/>
  <c r="E122" i="5"/>
  <c r="I123" i="8" s="1" a="1"/>
  <c r="I123" i="8" s="1"/>
  <c r="E123" i="5"/>
  <c r="E124" i="5"/>
  <c r="E125" i="5"/>
  <c r="I124" i="8" s="1" a="1"/>
  <c r="I124" i="8" s="1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I26" i="8" a="1"/>
  <c r="I26" i="8" s="1"/>
  <c r="I51" i="8" a="1"/>
  <c r="I51" i="8" s="1"/>
  <c r="I71" i="8" a="1"/>
  <c r="I71" i="8" s="1"/>
  <c r="I107" i="8" a="1"/>
  <c r="I107" i="8" s="1"/>
  <c r="I3" i="8" a="1"/>
  <c r="I3" i="8" s="1"/>
  <c r="I95" i="8" a="1"/>
  <c r="I95" i="8" s="1"/>
  <c r="E2" i="5"/>
  <c r="I14" i="8" a="1"/>
  <c r="I14" i="8" s="1"/>
  <c r="I23" i="8" a="1"/>
  <c r="I23" i="8" s="1"/>
  <c r="I24" i="8" a="1"/>
  <c r="I24" i="8" s="1"/>
  <c r="I27" i="8" a="1"/>
  <c r="I27" i="8" s="1"/>
  <c r="I31" i="8" a="1"/>
  <c r="I31" i="8" s="1"/>
  <c r="I32" i="8" a="1"/>
  <c r="I32" i="8" s="1"/>
  <c r="I43" i="8" a="1"/>
  <c r="I43" i="8" s="1"/>
  <c r="I44" i="8" a="1"/>
  <c r="I44" i="8" s="1"/>
  <c r="I68" i="8" a="1"/>
  <c r="I68" i="8" s="1"/>
  <c r="I72" i="8" a="1"/>
  <c r="I72" i="8" s="1"/>
  <c r="I91" i="8" a="1"/>
  <c r="I91" i="8" s="1"/>
  <c r="I92" i="8" a="1"/>
  <c r="I92" i="8" s="1"/>
  <c r="I99" i="8" a="1"/>
  <c r="I99" i="8" s="1"/>
  <c r="I100" i="8" a="1"/>
  <c r="I100" i="8" s="1"/>
  <c r="D3" i="8"/>
  <c r="D4" i="8"/>
  <c r="E4" i="8" s="1"/>
  <c r="D5" i="8"/>
  <c r="F5" i="8" s="1"/>
  <c r="D6" i="8"/>
  <c r="F6" i="8" s="1"/>
  <c r="D7" i="8"/>
  <c r="D8" i="8"/>
  <c r="E8" i="8" s="1"/>
  <c r="D9" i="8"/>
  <c r="E9" i="8" s="1"/>
  <c r="D10" i="8"/>
  <c r="F10" i="8" s="1"/>
  <c r="D11" i="8"/>
  <c r="D12" i="8"/>
  <c r="F12" i="8" s="1"/>
  <c r="D13" i="8"/>
  <c r="F13" i="8" s="1"/>
  <c r="D14" i="8"/>
  <c r="E14" i="8" s="1"/>
  <c r="D15" i="8"/>
  <c r="D16" i="8"/>
  <c r="E16" i="8" s="1"/>
  <c r="D17" i="8"/>
  <c r="F17" i="8" s="1"/>
  <c r="D18" i="8"/>
  <c r="F18" i="8" s="1"/>
  <c r="D19" i="8"/>
  <c r="D20" i="8"/>
  <c r="F20" i="8" s="1"/>
  <c r="D21" i="8"/>
  <c r="F21" i="8" s="1"/>
  <c r="D22" i="8"/>
  <c r="F22" i="8" s="1"/>
  <c r="D23" i="8"/>
  <c r="D24" i="8"/>
  <c r="F24" i="8" s="1"/>
  <c r="D25" i="8"/>
  <c r="E25" i="8" s="1"/>
  <c r="D26" i="8"/>
  <c r="F26" i="8" s="1"/>
  <c r="D27" i="8"/>
  <c r="D28" i="8"/>
  <c r="E28" i="8" s="1"/>
  <c r="D29" i="8"/>
  <c r="F29" i="8" s="1"/>
  <c r="D30" i="8"/>
  <c r="E30" i="8" s="1"/>
  <c r="D31" i="8"/>
  <c r="D32" i="8"/>
  <c r="E32" i="8" s="1"/>
  <c r="D33" i="8"/>
  <c r="F33" i="8" s="1"/>
  <c r="D34" i="8"/>
  <c r="E34" i="8" s="1"/>
  <c r="D35" i="8"/>
  <c r="D36" i="8"/>
  <c r="F36" i="8" s="1"/>
  <c r="D37" i="8"/>
  <c r="F37" i="8" s="1"/>
  <c r="D38" i="8"/>
  <c r="F38" i="8" s="1"/>
  <c r="D39" i="8"/>
  <c r="D40" i="8"/>
  <c r="F40" i="8" s="1"/>
  <c r="D41" i="8"/>
  <c r="E41" i="8" s="1"/>
  <c r="D42" i="8"/>
  <c r="F42" i="8" s="1"/>
  <c r="D43" i="8"/>
  <c r="D44" i="8"/>
  <c r="E44" i="8" s="1"/>
  <c r="D45" i="8"/>
  <c r="F45" i="8" s="1"/>
  <c r="D46" i="8"/>
  <c r="E46" i="8" s="1"/>
  <c r="D47" i="8"/>
  <c r="D48" i="8"/>
  <c r="F48" i="8" s="1"/>
  <c r="D49" i="8"/>
  <c r="F49" i="8" s="1"/>
  <c r="D50" i="8"/>
  <c r="E50" i="8" s="1"/>
  <c r="D51" i="8"/>
  <c r="D52" i="8"/>
  <c r="F52" i="8" s="1"/>
  <c r="D53" i="8"/>
  <c r="F53" i="8" s="1"/>
  <c r="D54" i="8"/>
  <c r="F54" i="8" s="1"/>
  <c r="D55" i="8"/>
  <c r="D56" i="8"/>
  <c r="E56" i="8" s="1"/>
  <c r="D57" i="8"/>
  <c r="E57" i="8" s="1"/>
  <c r="D58" i="8"/>
  <c r="F58" i="8" s="1"/>
  <c r="D59" i="8"/>
  <c r="D60" i="8"/>
  <c r="F60" i="8" s="1"/>
  <c r="D61" i="8"/>
  <c r="F61" i="8" s="1"/>
  <c r="D62" i="8"/>
  <c r="E62" i="8" s="1"/>
  <c r="D63" i="8"/>
  <c r="D64" i="8"/>
  <c r="F64" i="8" s="1"/>
  <c r="D65" i="8"/>
  <c r="F65" i="8" s="1"/>
  <c r="D66" i="8"/>
  <c r="F66" i="8" s="1"/>
  <c r="D67" i="8"/>
  <c r="D68" i="8"/>
  <c r="E68" i="8" s="1"/>
  <c r="D69" i="8"/>
  <c r="F69" i="8" s="1"/>
  <c r="D70" i="8"/>
  <c r="F70" i="8" s="1"/>
  <c r="D71" i="8"/>
  <c r="D72" i="8"/>
  <c r="E72" i="8" s="1"/>
  <c r="D73" i="8"/>
  <c r="E73" i="8" s="1"/>
  <c r="D74" i="8"/>
  <c r="F74" i="8" s="1"/>
  <c r="D75" i="8"/>
  <c r="D76" i="8"/>
  <c r="F76" i="8" s="1"/>
  <c r="D77" i="8"/>
  <c r="F77" i="8" s="1"/>
  <c r="D78" i="8"/>
  <c r="E78" i="8" s="1"/>
  <c r="D79" i="8"/>
  <c r="D80" i="8"/>
  <c r="E80" i="8" s="1"/>
  <c r="D81" i="8"/>
  <c r="F81" i="8" s="1"/>
  <c r="D82" i="8"/>
  <c r="E82" i="8" s="1"/>
  <c r="D83" i="8"/>
  <c r="D84" i="8"/>
  <c r="F84" i="8" s="1"/>
  <c r="D85" i="8"/>
  <c r="F85" i="8" s="1"/>
  <c r="D86" i="8"/>
  <c r="F86" i="8" s="1"/>
  <c r="D87" i="8"/>
  <c r="D88" i="8"/>
  <c r="E88" i="8" s="1"/>
  <c r="D89" i="8"/>
  <c r="E89" i="8" s="1"/>
  <c r="D90" i="8"/>
  <c r="F90" i="8" s="1"/>
  <c r="D91" i="8"/>
  <c r="D92" i="8"/>
  <c r="E92" i="8" s="1"/>
  <c r="D93" i="8"/>
  <c r="F93" i="8" s="1"/>
  <c r="D94" i="8"/>
  <c r="E94" i="8" s="1"/>
  <c r="D95" i="8"/>
  <c r="D96" i="8"/>
  <c r="F96" i="8" s="1"/>
  <c r="D97" i="8"/>
  <c r="F97" i="8" s="1"/>
  <c r="D98" i="8"/>
  <c r="F98" i="8" s="1"/>
  <c r="D99" i="8"/>
  <c r="D100" i="8"/>
  <c r="F100" i="8" s="1"/>
  <c r="D101" i="8"/>
  <c r="F101" i="8" s="1"/>
  <c r="D102" i="8"/>
  <c r="F102" i="8" s="1"/>
  <c r="D103" i="8"/>
  <c r="D104" i="8"/>
  <c r="F104" i="8" s="1"/>
  <c r="D105" i="8"/>
  <c r="E105" i="8" s="1"/>
  <c r="D106" i="8"/>
  <c r="F106" i="8" s="1"/>
  <c r="D107" i="8"/>
  <c r="D108" i="8"/>
  <c r="E108" i="8" s="1"/>
  <c r="D109" i="8"/>
  <c r="F109" i="8" s="1"/>
  <c r="D110" i="8"/>
  <c r="E110" i="8" s="1"/>
  <c r="D111" i="8"/>
  <c r="D112" i="8"/>
  <c r="E112" i="8" s="1"/>
  <c r="D113" i="8"/>
  <c r="F113" i="8" s="1"/>
  <c r="D114" i="8"/>
  <c r="E114" i="8" s="1"/>
  <c r="D115" i="8"/>
  <c r="D116" i="8"/>
  <c r="F116" i="8" s="1"/>
  <c r="D117" i="8"/>
  <c r="F117" i="8" s="1"/>
  <c r="D118" i="8"/>
  <c r="F118" i="8" s="1"/>
  <c r="D119" i="8"/>
  <c r="D120" i="8"/>
  <c r="E120" i="8" s="1"/>
  <c r="D121" i="8"/>
  <c r="E121" i="8" s="1"/>
  <c r="D122" i="8"/>
  <c r="F122" i="8" s="1"/>
  <c r="D123" i="8"/>
  <c r="D124" i="8"/>
  <c r="E124" i="8" s="1"/>
  <c r="D125" i="8"/>
  <c r="F125" i="8" s="1"/>
  <c r="D2" i="8"/>
  <c r="F2" i="8" s="1"/>
  <c r="C3" i="8"/>
  <c r="K3" i="8" s="1"/>
  <c r="C4" i="8"/>
  <c r="K4" i="8" s="1"/>
  <c r="C5" i="8"/>
  <c r="K5" i="8" s="1"/>
  <c r="C6" i="8"/>
  <c r="K6" i="8" s="1"/>
  <c r="C7" i="8"/>
  <c r="K7" i="8" s="1"/>
  <c r="C8" i="8"/>
  <c r="K8" i="8" s="1"/>
  <c r="C9" i="8"/>
  <c r="K9" i="8" s="1"/>
  <c r="C10" i="8"/>
  <c r="K10" i="8" s="1"/>
  <c r="C11" i="8"/>
  <c r="K11" i="8" s="1"/>
  <c r="C12" i="8"/>
  <c r="K12" i="8" s="1"/>
  <c r="C13" i="8"/>
  <c r="K13" i="8" s="1"/>
  <c r="C14" i="8"/>
  <c r="K14" i="8" s="1"/>
  <c r="C15" i="8"/>
  <c r="K15" i="8" s="1"/>
  <c r="C16" i="8"/>
  <c r="K16" i="8" s="1"/>
  <c r="C17" i="8"/>
  <c r="K17" i="8" s="1"/>
  <c r="C18" i="8"/>
  <c r="K18" i="8" s="1"/>
  <c r="C19" i="8"/>
  <c r="K19" i="8" s="1"/>
  <c r="C20" i="8"/>
  <c r="K20" i="8" s="1"/>
  <c r="C21" i="8"/>
  <c r="K21" i="8" s="1"/>
  <c r="C22" i="8"/>
  <c r="K22" i="8" s="1"/>
  <c r="C23" i="8"/>
  <c r="K23" i="8" s="1"/>
  <c r="C24" i="8"/>
  <c r="K24" i="8" s="1"/>
  <c r="C25" i="8"/>
  <c r="K25" i="8" s="1"/>
  <c r="C26" i="8"/>
  <c r="K26" i="8" s="1"/>
  <c r="C27" i="8"/>
  <c r="K27" i="8" s="1"/>
  <c r="C28" i="8"/>
  <c r="K28" i="8" s="1"/>
  <c r="C29" i="8"/>
  <c r="K29" i="8" s="1"/>
  <c r="C30" i="8"/>
  <c r="K30" i="8" s="1"/>
  <c r="C31" i="8"/>
  <c r="K31" i="8" s="1"/>
  <c r="C32" i="8"/>
  <c r="K32" i="8" s="1"/>
  <c r="C33" i="8"/>
  <c r="K33" i="8" s="1"/>
  <c r="C34" i="8"/>
  <c r="K34" i="8" s="1"/>
  <c r="C35" i="8"/>
  <c r="K35" i="8" s="1"/>
  <c r="C36" i="8"/>
  <c r="K36" i="8" s="1"/>
  <c r="C37" i="8"/>
  <c r="K37" i="8" s="1"/>
  <c r="C38" i="8"/>
  <c r="K38" i="8" s="1"/>
  <c r="C39" i="8"/>
  <c r="K39" i="8" s="1"/>
  <c r="C40" i="8"/>
  <c r="K40" i="8" s="1"/>
  <c r="C41" i="8"/>
  <c r="K41" i="8" s="1"/>
  <c r="C42" i="8"/>
  <c r="K42" i="8" s="1"/>
  <c r="C43" i="8"/>
  <c r="K43" i="8" s="1"/>
  <c r="C44" i="8"/>
  <c r="K44" i="8" s="1"/>
  <c r="C45" i="8"/>
  <c r="K45" i="8" s="1"/>
  <c r="C46" i="8"/>
  <c r="K46" i="8" s="1"/>
  <c r="C47" i="8"/>
  <c r="K47" i="8" s="1"/>
  <c r="C48" i="8"/>
  <c r="K48" i="8" s="1"/>
  <c r="C49" i="8"/>
  <c r="K49" i="8" s="1"/>
  <c r="C50" i="8"/>
  <c r="K50" i="8" s="1"/>
  <c r="C51" i="8"/>
  <c r="K51" i="8" s="1"/>
  <c r="C52" i="8"/>
  <c r="K52" i="8" s="1"/>
  <c r="C53" i="8"/>
  <c r="K53" i="8" s="1"/>
  <c r="C54" i="8"/>
  <c r="K54" i="8" s="1"/>
  <c r="C55" i="8"/>
  <c r="K55" i="8" s="1"/>
  <c r="C56" i="8"/>
  <c r="K56" i="8" s="1"/>
  <c r="C57" i="8"/>
  <c r="K57" i="8" s="1"/>
  <c r="C58" i="8"/>
  <c r="K58" i="8" s="1"/>
  <c r="C59" i="8"/>
  <c r="K59" i="8" s="1"/>
  <c r="C60" i="8"/>
  <c r="K60" i="8" s="1"/>
  <c r="C61" i="8"/>
  <c r="K61" i="8" s="1"/>
  <c r="C62" i="8"/>
  <c r="K62" i="8" s="1"/>
  <c r="C63" i="8"/>
  <c r="K63" i="8" s="1"/>
  <c r="C64" i="8"/>
  <c r="K64" i="8" s="1"/>
  <c r="C65" i="8"/>
  <c r="K65" i="8" s="1"/>
  <c r="C66" i="8"/>
  <c r="K66" i="8" s="1"/>
  <c r="C67" i="8"/>
  <c r="K67" i="8" s="1"/>
  <c r="C68" i="8"/>
  <c r="K68" i="8" s="1"/>
  <c r="C69" i="8"/>
  <c r="K69" i="8" s="1"/>
  <c r="C70" i="8"/>
  <c r="K70" i="8" s="1"/>
  <c r="C71" i="8"/>
  <c r="K71" i="8" s="1"/>
  <c r="C72" i="8"/>
  <c r="K72" i="8" s="1"/>
  <c r="C73" i="8"/>
  <c r="K73" i="8" s="1"/>
  <c r="C74" i="8"/>
  <c r="K74" i="8" s="1"/>
  <c r="C75" i="8"/>
  <c r="K75" i="8" s="1"/>
  <c r="C76" i="8"/>
  <c r="K76" i="8" s="1"/>
  <c r="C77" i="8"/>
  <c r="K77" i="8" s="1"/>
  <c r="C78" i="8"/>
  <c r="K78" i="8" s="1"/>
  <c r="C79" i="8"/>
  <c r="K79" i="8" s="1"/>
  <c r="C80" i="8"/>
  <c r="K80" i="8" s="1"/>
  <c r="C81" i="8"/>
  <c r="K81" i="8" s="1"/>
  <c r="C82" i="8"/>
  <c r="K82" i="8" s="1"/>
  <c r="C83" i="8"/>
  <c r="K83" i="8" s="1"/>
  <c r="C84" i="8"/>
  <c r="K84" i="8" s="1"/>
  <c r="C85" i="8"/>
  <c r="K85" i="8" s="1"/>
  <c r="C86" i="8"/>
  <c r="K86" i="8" s="1"/>
  <c r="C87" i="8"/>
  <c r="K87" i="8" s="1"/>
  <c r="C88" i="8"/>
  <c r="K88" i="8" s="1"/>
  <c r="C89" i="8"/>
  <c r="K89" i="8" s="1"/>
  <c r="C90" i="8"/>
  <c r="K90" i="8" s="1"/>
  <c r="C91" i="8"/>
  <c r="K91" i="8" s="1"/>
  <c r="C92" i="8"/>
  <c r="K92" i="8" s="1"/>
  <c r="C93" i="8"/>
  <c r="K93" i="8" s="1"/>
  <c r="C94" i="8"/>
  <c r="K94" i="8" s="1"/>
  <c r="C95" i="8"/>
  <c r="K95" i="8" s="1"/>
  <c r="C96" i="8"/>
  <c r="K96" i="8" s="1"/>
  <c r="C97" i="8"/>
  <c r="K97" i="8" s="1"/>
  <c r="C98" i="8"/>
  <c r="K98" i="8" s="1"/>
  <c r="C99" i="8"/>
  <c r="K99" i="8" s="1"/>
  <c r="C100" i="8"/>
  <c r="K100" i="8" s="1"/>
  <c r="C101" i="8"/>
  <c r="K101" i="8" s="1"/>
  <c r="C102" i="8"/>
  <c r="K102" i="8" s="1"/>
  <c r="C103" i="8"/>
  <c r="K103" i="8" s="1"/>
  <c r="C104" i="8"/>
  <c r="K104" i="8" s="1"/>
  <c r="C105" i="8"/>
  <c r="K105" i="8" s="1"/>
  <c r="C106" i="8"/>
  <c r="K106" i="8" s="1"/>
  <c r="C107" i="8"/>
  <c r="K107" i="8" s="1"/>
  <c r="C108" i="8"/>
  <c r="K108" i="8" s="1"/>
  <c r="C109" i="8"/>
  <c r="K109" i="8" s="1"/>
  <c r="C110" i="8"/>
  <c r="K110" i="8" s="1"/>
  <c r="C111" i="8"/>
  <c r="K111" i="8" s="1"/>
  <c r="C112" i="8"/>
  <c r="K112" i="8" s="1"/>
  <c r="C113" i="8"/>
  <c r="K113" i="8" s="1"/>
  <c r="C114" i="8"/>
  <c r="K114" i="8" s="1"/>
  <c r="C115" i="8"/>
  <c r="K115" i="8" s="1"/>
  <c r="C116" i="8"/>
  <c r="K116" i="8" s="1"/>
  <c r="C117" i="8"/>
  <c r="K117" i="8" s="1"/>
  <c r="C118" i="8"/>
  <c r="K118" i="8" s="1"/>
  <c r="C119" i="8"/>
  <c r="K119" i="8" s="1"/>
  <c r="C120" i="8"/>
  <c r="K120" i="8" s="1"/>
  <c r="C121" i="8"/>
  <c r="K121" i="8" s="1"/>
  <c r="C122" i="8"/>
  <c r="K122" i="8" s="1"/>
  <c r="C123" i="8"/>
  <c r="K123" i="8" s="1"/>
  <c r="C124" i="8"/>
  <c r="K124" i="8" s="1"/>
  <c r="C125" i="8"/>
  <c r="K125" i="8" s="1"/>
  <c r="C2" i="8"/>
  <c r="K2" i="8" s="1"/>
  <c r="I86" i="8" l="1" a="1"/>
  <c r="I86" i="8" s="1"/>
  <c r="I70" i="8" a="1"/>
  <c r="I70" i="8" s="1"/>
  <c r="I66" i="8" a="1"/>
  <c r="I66" i="8" s="1"/>
  <c r="O66" i="8" s="1"/>
  <c r="I101" i="8" a="1"/>
  <c r="I101" i="8" s="1"/>
  <c r="O101" i="8" s="1"/>
  <c r="I94" i="8" a="1"/>
  <c r="I94" i="8" s="1"/>
  <c r="I30" i="8" a="1"/>
  <c r="I30" i="8" s="1"/>
  <c r="I25" i="8" a="1"/>
  <c r="I25" i="8" s="1"/>
  <c r="I54" i="8" a="1"/>
  <c r="I54" i="8" s="1"/>
  <c r="I22" i="8" a="1"/>
  <c r="I22" i="8" s="1"/>
  <c r="I74" i="8" a="1"/>
  <c r="I74" i="8" s="1"/>
  <c r="I69" i="8" a="1"/>
  <c r="I69" i="8" s="1"/>
  <c r="I33" i="8" a="1"/>
  <c r="I33" i="8" s="1"/>
  <c r="O33" i="8" s="1"/>
  <c r="E104" i="8"/>
  <c r="E48" i="8"/>
  <c r="E24" i="8"/>
  <c r="F124" i="8"/>
  <c r="N124" i="8" s="1"/>
  <c r="F92" i="8"/>
  <c r="F72" i="8"/>
  <c r="F44" i="8"/>
  <c r="F16" i="8"/>
  <c r="N16" i="8" s="1"/>
  <c r="E100" i="8"/>
  <c r="E40" i="8"/>
  <c r="F112" i="8"/>
  <c r="F88" i="8"/>
  <c r="N88" i="8" s="1"/>
  <c r="F68" i="8"/>
  <c r="F32" i="8"/>
  <c r="F9" i="8"/>
  <c r="E84" i="8"/>
  <c r="E20" i="8"/>
  <c r="E96" i="8"/>
  <c r="E64" i="8"/>
  <c r="E36" i="8"/>
  <c r="E12" i="8"/>
  <c r="F108" i="8"/>
  <c r="F56" i="8"/>
  <c r="F28" i="8"/>
  <c r="N28" i="8" s="1"/>
  <c r="F8" i="8"/>
  <c r="E116" i="8"/>
  <c r="E60" i="8"/>
  <c r="F73" i="8"/>
  <c r="E77" i="8"/>
  <c r="E76" i="8"/>
  <c r="E52" i="8"/>
  <c r="E13" i="8"/>
  <c r="F120" i="8"/>
  <c r="F80" i="8"/>
  <c r="F4" i="8"/>
  <c r="E125" i="8"/>
  <c r="E61" i="8"/>
  <c r="F121" i="8"/>
  <c r="F57" i="8"/>
  <c r="N57" i="8" s="1"/>
  <c r="E109" i="8"/>
  <c r="E45" i="8"/>
  <c r="F105" i="8"/>
  <c r="N105" i="8" s="1"/>
  <c r="F41" i="8"/>
  <c r="N41" i="8" s="1"/>
  <c r="E93" i="8"/>
  <c r="E29" i="8"/>
  <c r="F89" i="8"/>
  <c r="F25" i="8"/>
  <c r="O25" i="8" s="1"/>
  <c r="O2" i="8"/>
  <c r="N2" i="8"/>
  <c r="N106" i="8"/>
  <c r="N98" i="8"/>
  <c r="N90" i="8"/>
  <c r="O90" i="8"/>
  <c r="N74" i="8"/>
  <c r="O74" i="8"/>
  <c r="N66" i="8"/>
  <c r="N54" i="8"/>
  <c r="N10" i="8"/>
  <c r="N122" i="8"/>
  <c r="N118" i="8"/>
  <c r="N102" i="8"/>
  <c r="O86" i="8"/>
  <c r="N86" i="8"/>
  <c r="O70" i="8"/>
  <c r="N70" i="8"/>
  <c r="X70" i="8" s="1"/>
  <c r="N58" i="8"/>
  <c r="N42" i="8"/>
  <c r="N38" i="8"/>
  <c r="N26" i="8"/>
  <c r="O26" i="8"/>
  <c r="O22" i="8"/>
  <c r="N22" i="8"/>
  <c r="O18" i="8"/>
  <c r="N18" i="8"/>
  <c r="O6" i="8"/>
  <c r="N6" i="8"/>
  <c r="N125" i="8"/>
  <c r="N117" i="8"/>
  <c r="N113" i="8"/>
  <c r="N109" i="8"/>
  <c r="N101" i="8"/>
  <c r="N97" i="8"/>
  <c r="N93" i="8"/>
  <c r="N85" i="8"/>
  <c r="N81" i="8"/>
  <c r="N77" i="8"/>
  <c r="N69" i="8"/>
  <c r="N65" i="8"/>
  <c r="N61" i="8"/>
  <c r="N53" i="8"/>
  <c r="N49" i="8"/>
  <c r="O45" i="8"/>
  <c r="N45" i="8"/>
  <c r="N37" i="8"/>
  <c r="N33" i="8"/>
  <c r="N29" i="8"/>
  <c r="N21" i="8"/>
  <c r="O17" i="8"/>
  <c r="N17" i="8"/>
  <c r="N13" i="8"/>
  <c r="N5" i="8"/>
  <c r="M2" i="8"/>
  <c r="L2" i="8"/>
  <c r="L122" i="8"/>
  <c r="L110" i="8"/>
  <c r="L102" i="8"/>
  <c r="L98" i="8"/>
  <c r="L86" i="8"/>
  <c r="L82" i="8"/>
  <c r="L70" i="8"/>
  <c r="L66" i="8"/>
  <c r="L54" i="8"/>
  <c r="L46" i="8"/>
  <c r="L38" i="8"/>
  <c r="L34" i="8"/>
  <c r="L22" i="8"/>
  <c r="L18" i="8"/>
  <c r="L10" i="8"/>
  <c r="E98" i="8"/>
  <c r="E66" i="8"/>
  <c r="E18" i="8"/>
  <c r="N121" i="8"/>
  <c r="F110" i="8"/>
  <c r="N73" i="8"/>
  <c r="N68" i="8"/>
  <c r="O68" i="8"/>
  <c r="F62" i="8"/>
  <c r="N52" i="8"/>
  <c r="O52" i="8"/>
  <c r="F30" i="8"/>
  <c r="O20" i="8"/>
  <c r="N20" i="8"/>
  <c r="X20" i="8" s="1"/>
  <c r="N9" i="8"/>
  <c r="N4" i="8"/>
  <c r="L121" i="8"/>
  <c r="L113" i="8"/>
  <c r="L105" i="8"/>
  <c r="L97" i="8"/>
  <c r="L89" i="8"/>
  <c r="L81" i="8"/>
  <c r="L73" i="8"/>
  <c r="L65" i="8"/>
  <c r="L57" i="8"/>
  <c r="L49" i="8"/>
  <c r="L41" i="8"/>
  <c r="L37" i="8"/>
  <c r="L33" i="8"/>
  <c r="L21" i="8"/>
  <c r="L13" i="8"/>
  <c r="L5" i="8"/>
  <c r="E118" i="8"/>
  <c r="E65" i="8"/>
  <c r="E54" i="8"/>
  <c r="E49" i="8"/>
  <c r="E38" i="8"/>
  <c r="E33" i="8"/>
  <c r="E17" i="8"/>
  <c r="E6" i="8"/>
  <c r="N120" i="8"/>
  <c r="F114" i="8"/>
  <c r="N104" i="8"/>
  <c r="F82" i="8"/>
  <c r="N72" i="8"/>
  <c r="O72" i="8"/>
  <c r="N56" i="8"/>
  <c r="F50" i="8"/>
  <c r="N40" i="8"/>
  <c r="F34" i="8"/>
  <c r="O24" i="8"/>
  <c r="N24" i="8"/>
  <c r="X24" i="8" s="1"/>
  <c r="N8" i="8"/>
  <c r="L118" i="8"/>
  <c r="L114" i="8"/>
  <c r="L106" i="8"/>
  <c r="L94" i="8"/>
  <c r="L90" i="8"/>
  <c r="L78" i="8"/>
  <c r="L74" i="8"/>
  <c r="L62" i="8"/>
  <c r="L58" i="8"/>
  <c r="L50" i="8"/>
  <c r="L42" i="8"/>
  <c r="L30" i="8"/>
  <c r="L26" i="8"/>
  <c r="L14" i="8"/>
  <c r="L6" i="8"/>
  <c r="N116" i="8"/>
  <c r="N100" i="8"/>
  <c r="O100" i="8"/>
  <c r="F94" i="8"/>
  <c r="L124" i="8"/>
  <c r="L116" i="8"/>
  <c r="L108" i="8"/>
  <c r="L100" i="8"/>
  <c r="L92" i="8"/>
  <c r="L84" i="8"/>
  <c r="L76" i="8"/>
  <c r="L68" i="8"/>
  <c r="L60" i="8"/>
  <c r="L48" i="8"/>
  <c r="L40" i="8"/>
  <c r="L32" i="8"/>
  <c r="L20" i="8"/>
  <c r="N89" i="8"/>
  <c r="N84" i="8"/>
  <c r="F78" i="8"/>
  <c r="F46" i="8"/>
  <c r="N36" i="8"/>
  <c r="F14" i="8"/>
  <c r="L125" i="8"/>
  <c r="L117" i="8"/>
  <c r="L109" i="8"/>
  <c r="L101" i="8"/>
  <c r="L93" i="8"/>
  <c r="L85" i="8"/>
  <c r="L77" i="8"/>
  <c r="L69" i="8"/>
  <c r="L61" i="8"/>
  <c r="L53" i="8"/>
  <c r="L45" i="8"/>
  <c r="L29" i="8"/>
  <c r="L25" i="8"/>
  <c r="L17" i="8"/>
  <c r="L9" i="8"/>
  <c r="E113" i="8"/>
  <c r="E102" i="8"/>
  <c r="E97" i="8"/>
  <c r="E86" i="8"/>
  <c r="E81" i="8"/>
  <c r="E70" i="8"/>
  <c r="E22" i="8"/>
  <c r="L120" i="8"/>
  <c r="L112" i="8"/>
  <c r="L104" i="8"/>
  <c r="L96" i="8"/>
  <c r="L88" i="8"/>
  <c r="L80" i="8"/>
  <c r="L72" i="8"/>
  <c r="L64" i="8"/>
  <c r="L56" i="8"/>
  <c r="L52" i="8"/>
  <c r="L44" i="8"/>
  <c r="L36" i="8"/>
  <c r="L28" i="8"/>
  <c r="L24" i="8"/>
  <c r="L16" i="8"/>
  <c r="E122" i="8"/>
  <c r="E117" i="8"/>
  <c r="E106" i="8"/>
  <c r="E101" i="8"/>
  <c r="E90" i="8"/>
  <c r="E85" i="8"/>
  <c r="E74" i="8"/>
  <c r="E69" i="8"/>
  <c r="E58" i="8"/>
  <c r="E53" i="8"/>
  <c r="E42" i="8"/>
  <c r="E37" i="8"/>
  <c r="E26" i="8"/>
  <c r="E21" i="8"/>
  <c r="E10" i="8"/>
  <c r="E5" i="8"/>
  <c r="O124" i="8"/>
  <c r="N108" i="8"/>
  <c r="O92" i="8"/>
  <c r="N92" i="8"/>
  <c r="N76" i="8"/>
  <c r="N60" i="8"/>
  <c r="O44" i="8"/>
  <c r="N44" i="8"/>
  <c r="N12" i="8"/>
  <c r="L123" i="8"/>
  <c r="L119" i="8"/>
  <c r="L115" i="8"/>
  <c r="L111" i="8"/>
  <c r="L107" i="8"/>
  <c r="L103" i="8"/>
  <c r="L99" i="8"/>
  <c r="L95" i="8"/>
  <c r="L91" i="8"/>
  <c r="L87" i="8"/>
  <c r="L83" i="8"/>
  <c r="L79" i="8"/>
  <c r="L75" i="8"/>
  <c r="L71" i="8"/>
  <c r="L67" i="8"/>
  <c r="L63" i="8"/>
  <c r="L59" i="8"/>
  <c r="L55" i="8"/>
  <c r="L51" i="8"/>
  <c r="L47" i="8"/>
  <c r="L43" i="8"/>
  <c r="L39" i="8"/>
  <c r="L35" i="8"/>
  <c r="L31" i="8"/>
  <c r="L27" i="8"/>
  <c r="L23" i="8"/>
  <c r="L19" i="8"/>
  <c r="L15" i="8"/>
  <c r="L11" i="8"/>
  <c r="L7" i="8"/>
  <c r="L3" i="8"/>
  <c r="F123" i="8"/>
  <c r="E123" i="8"/>
  <c r="F119" i="8"/>
  <c r="E119" i="8"/>
  <c r="F115" i="8"/>
  <c r="E115" i="8"/>
  <c r="F111" i="8"/>
  <c r="E111" i="8"/>
  <c r="F107" i="8"/>
  <c r="E107" i="8"/>
  <c r="F103" i="8"/>
  <c r="E103" i="8"/>
  <c r="F99" i="8"/>
  <c r="E99" i="8"/>
  <c r="F95" i="8"/>
  <c r="E95" i="8"/>
  <c r="F91" i="8"/>
  <c r="E91" i="8"/>
  <c r="F87" i="8"/>
  <c r="E87" i="8"/>
  <c r="F83" i="8"/>
  <c r="E83" i="8"/>
  <c r="F79" i="8"/>
  <c r="E79" i="8"/>
  <c r="F75" i="8"/>
  <c r="E75" i="8"/>
  <c r="F71" i="8"/>
  <c r="E71" i="8"/>
  <c r="F67" i="8"/>
  <c r="E67" i="8"/>
  <c r="F63" i="8"/>
  <c r="E63" i="8"/>
  <c r="F59" i="8"/>
  <c r="E59" i="8"/>
  <c r="F55" i="8"/>
  <c r="E55" i="8"/>
  <c r="F51" i="8"/>
  <c r="E51" i="8"/>
  <c r="F47" i="8"/>
  <c r="E47" i="8"/>
  <c r="F43" i="8"/>
  <c r="E43" i="8"/>
  <c r="F39" i="8"/>
  <c r="E39" i="8"/>
  <c r="F35" i="8"/>
  <c r="E35" i="8"/>
  <c r="F31" i="8"/>
  <c r="E31" i="8"/>
  <c r="F27" i="8"/>
  <c r="E27" i="8"/>
  <c r="F23" i="8"/>
  <c r="E23" i="8"/>
  <c r="F19" i="8"/>
  <c r="E19" i="8"/>
  <c r="F15" i="8"/>
  <c r="E15" i="8"/>
  <c r="F11" i="8"/>
  <c r="E11" i="8"/>
  <c r="F7" i="8"/>
  <c r="E7" i="8"/>
  <c r="F3" i="8"/>
  <c r="E3" i="8"/>
  <c r="N112" i="8"/>
  <c r="N96" i="8"/>
  <c r="O96" i="8"/>
  <c r="N80" i="8"/>
  <c r="N64" i="8"/>
  <c r="N48" i="8"/>
  <c r="O32" i="8"/>
  <c r="N32" i="8"/>
  <c r="L12" i="8"/>
  <c r="L8" i="8"/>
  <c r="L4" i="8"/>
  <c r="I122" i="8" a="1"/>
  <c r="I122" i="8" s="1"/>
  <c r="O122" i="8" s="1"/>
  <c r="I62" i="8" a="1"/>
  <c r="I62" i="8" s="1"/>
  <c r="I110" i="8" a="1"/>
  <c r="I110" i="8" s="1"/>
  <c r="I53" i="8" a="1"/>
  <c r="I53" i="8" s="1"/>
  <c r="O53" i="8" s="1"/>
  <c r="I21" i="8" a="1"/>
  <c r="I21" i="8" s="1"/>
  <c r="O21" i="8" s="1"/>
  <c r="I16" i="8" a="1"/>
  <c r="I16" i="8" s="1"/>
  <c r="I55" i="8" a="1"/>
  <c r="I55" i="8" s="1"/>
  <c r="I34" i="8" a="1"/>
  <c r="I34" i="8" s="1"/>
  <c r="I106" i="8" a="1"/>
  <c r="I106" i="8" s="1"/>
  <c r="I78" i="8" a="1"/>
  <c r="I78" i="8" s="1"/>
  <c r="I58" i="8" a="1"/>
  <c r="I58" i="8" s="1"/>
  <c r="I50" i="8" a="1"/>
  <c r="I50" i="8" s="1"/>
  <c r="I10" i="8" a="1"/>
  <c r="I10" i="8" s="1"/>
  <c r="I89" i="8" a="1"/>
  <c r="I89" i="8" s="1"/>
  <c r="I28" i="8" a="1"/>
  <c r="I28" i="8" s="1"/>
  <c r="I118" i="8" a="1"/>
  <c r="I118" i="8" s="1"/>
  <c r="I102" i="8" a="1"/>
  <c r="I102" i="8" s="1"/>
  <c r="O102" i="8" s="1"/>
  <c r="I98" i="8" a="1"/>
  <c r="I98" i="8" s="1"/>
  <c r="O98" i="8" s="1"/>
  <c r="I46" i="8" a="1"/>
  <c r="I46" i="8" s="1"/>
  <c r="I42" i="8" a="1"/>
  <c r="I42" i="8" s="1"/>
  <c r="I83" i="8" a="1"/>
  <c r="I83" i="8" s="1"/>
  <c r="I67" i="8" a="1"/>
  <c r="I67" i="8" s="1"/>
  <c r="I114" i="8" a="1"/>
  <c r="I114" i="8" s="1"/>
  <c r="I38" i="8" a="1"/>
  <c r="I38" i="8" s="1"/>
  <c r="I125" i="8" a="1"/>
  <c r="I125" i="8" s="1"/>
  <c r="O125" i="8" s="1"/>
  <c r="I121" i="8" a="1"/>
  <c r="I121" i="8" s="1"/>
  <c r="I117" i="8" a="1"/>
  <c r="I117" i="8" s="1"/>
  <c r="O117" i="8" s="1"/>
  <c r="I113" i="8" a="1"/>
  <c r="I113" i="8" s="1"/>
  <c r="O113" i="8" s="1"/>
  <c r="I109" i="8" a="1"/>
  <c r="I109" i="8" s="1"/>
  <c r="I105" i="8" a="1"/>
  <c r="I105" i="8" s="1"/>
  <c r="O105" i="8" s="1"/>
  <c r="I97" i="8" a="1"/>
  <c r="I97" i="8" s="1"/>
  <c r="O97" i="8" s="1"/>
  <c r="I93" i="8" a="1"/>
  <c r="I93" i="8" s="1"/>
  <c r="O93" i="8" s="1"/>
  <c r="I85" i="8" a="1"/>
  <c r="I85" i="8" s="1"/>
  <c r="I81" i="8" a="1"/>
  <c r="I81" i="8" s="1"/>
  <c r="O81" i="8" s="1"/>
  <c r="I77" i="8" a="1"/>
  <c r="I77" i="8" s="1"/>
  <c r="I73" i="8" a="1"/>
  <c r="I73" i="8" s="1"/>
  <c r="O73" i="8" s="1"/>
  <c r="I65" i="8" a="1"/>
  <c r="I65" i="8" s="1"/>
  <c r="O65" i="8" s="1"/>
  <c r="I61" i="8" a="1"/>
  <c r="I61" i="8" s="1"/>
  <c r="O61" i="8" s="1"/>
  <c r="I57" i="8" a="1"/>
  <c r="I57" i="8" s="1"/>
  <c r="I49" i="8" a="1"/>
  <c r="I49" i="8" s="1"/>
  <c r="O49" i="8" s="1"/>
  <c r="I41" i="8" a="1"/>
  <c r="I41" i="8" s="1"/>
  <c r="I37" i="8" a="1"/>
  <c r="I37" i="8" s="1"/>
  <c r="O37" i="8" s="1"/>
  <c r="I29" i="8" a="1"/>
  <c r="I29" i="8" s="1"/>
  <c r="O29" i="8" s="1"/>
  <c r="I13" i="8" a="1"/>
  <c r="I13" i="8" s="1"/>
  <c r="I9" i="8" a="1"/>
  <c r="I9" i="8" s="1"/>
  <c r="O9" i="8" s="1"/>
  <c r="I5" i="8" a="1"/>
  <c r="I5" i="8" s="1"/>
  <c r="O5" i="8" s="1"/>
  <c r="I120" i="8" a="1"/>
  <c r="I120" i="8" s="1"/>
  <c r="O120" i="8" s="1"/>
  <c r="I116" i="8" a="1"/>
  <c r="I116" i="8" s="1"/>
  <c r="O116" i="8" s="1"/>
  <c r="I112" i="8" a="1"/>
  <c r="I112" i="8" s="1"/>
  <c r="O112" i="8" s="1"/>
  <c r="I108" i="8" a="1"/>
  <c r="I108" i="8" s="1"/>
  <c r="I104" i="8" a="1"/>
  <c r="I104" i="8" s="1"/>
  <c r="O104" i="8" s="1"/>
  <c r="I88" i="8" a="1"/>
  <c r="I88" i="8" s="1"/>
  <c r="O88" i="8" s="1"/>
  <c r="I84" i="8" a="1"/>
  <c r="I84" i="8" s="1"/>
  <c r="O84" i="8" s="1"/>
  <c r="I80" i="8" a="1"/>
  <c r="I80" i="8" s="1"/>
  <c r="O80" i="8" s="1"/>
  <c r="I76" i="8" a="1"/>
  <c r="I76" i="8" s="1"/>
  <c r="I64" i="8" a="1"/>
  <c r="I64" i="8" s="1"/>
  <c r="O64" i="8" s="1"/>
  <c r="I60" i="8" a="1"/>
  <c r="I60" i="8" s="1"/>
  <c r="O60" i="8" s="1"/>
  <c r="I56" i="8" a="1"/>
  <c r="I56" i="8" s="1"/>
  <c r="I48" i="8" a="1"/>
  <c r="I48" i="8" s="1"/>
  <c r="O48" i="8" s="1"/>
  <c r="I40" i="8" a="1"/>
  <c r="I40" i="8" s="1"/>
  <c r="O40" i="8" s="1"/>
  <c r="I36" i="8" a="1"/>
  <c r="I36" i="8" s="1"/>
  <c r="O36" i="8" s="1"/>
  <c r="I12" i="8" a="1"/>
  <c r="I12" i="8" s="1"/>
  <c r="O12" i="8" s="1"/>
  <c r="I8" i="8" a="1"/>
  <c r="I8" i="8" s="1"/>
  <c r="I4" i="8" a="1"/>
  <c r="I4" i="8" s="1"/>
  <c r="I87" i="8" a="1"/>
  <c r="I87" i="8" s="1"/>
  <c r="I59" i="8" a="1"/>
  <c r="I59" i="8" s="1"/>
  <c r="I39" i="8" a="1"/>
  <c r="I39" i="8" s="1"/>
  <c r="I7" i="8" a="1"/>
  <c r="I7" i="8" s="1"/>
  <c r="O69" i="8" l="1"/>
  <c r="X69" i="8" s="1"/>
  <c r="O54" i="8"/>
  <c r="X54" i="8" s="1"/>
  <c r="O16" i="8"/>
  <c r="X32" i="8"/>
  <c r="X86" i="8"/>
  <c r="X2" i="8"/>
  <c r="W116" i="8"/>
  <c r="X101" i="8"/>
  <c r="X18" i="8"/>
  <c r="O13" i="8"/>
  <c r="X6" i="8"/>
  <c r="X22" i="8"/>
  <c r="O89" i="8"/>
  <c r="X89" i="8" s="1"/>
  <c r="W64" i="8"/>
  <c r="P80" i="8"/>
  <c r="U80" i="8" s="1"/>
  <c r="V80" i="8" s="1"/>
  <c r="X45" i="8"/>
  <c r="O8" i="8"/>
  <c r="P8" i="8" s="1"/>
  <c r="U8" i="8" s="1"/>
  <c r="V8" i="8" s="1"/>
  <c r="W48" i="8"/>
  <c r="W97" i="8"/>
  <c r="W37" i="8"/>
  <c r="W81" i="8"/>
  <c r="W98" i="8"/>
  <c r="X117" i="8"/>
  <c r="O41" i="8"/>
  <c r="X41" i="8" s="1"/>
  <c r="O28" i="8"/>
  <c r="P28" i="8" s="1"/>
  <c r="U28" i="8" s="1"/>
  <c r="V28" i="8" s="1"/>
  <c r="W117" i="8"/>
  <c r="N25" i="8"/>
  <c r="X25" i="8" s="1"/>
  <c r="O56" i="8"/>
  <c r="X56" i="8" s="1"/>
  <c r="O58" i="8"/>
  <c r="X44" i="8"/>
  <c r="P29" i="8"/>
  <c r="U29" i="8" s="1"/>
  <c r="V29" i="8" s="1"/>
  <c r="X8" i="8"/>
  <c r="P5" i="8"/>
  <c r="U5" i="8" s="1"/>
  <c r="V5" i="8" s="1"/>
  <c r="X17" i="8"/>
  <c r="X33" i="8"/>
  <c r="O77" i="8"/>
  <c r="X77" i="8" s="1"/>
  <c r="X97" i="8"/>
  <c r="X80" i="8"/>
  <c r="O7" i="8"/>
  <c r="P7" i="8" s="1"/>
  <c r="U7" i="8" s="1"/>
  <c r="V7" i="8" s="1"/>
  <c r="N7" i="8"/>
  <c r="N23" i="8"/>
  <c r="O23" i="8"/>
  <c r="O39" i="8"/>
  <c r="P39" i="8" s="1"/>
  <c r="U39" i="8" s="1"/>
  <c r="V39" i="8" s="1"/>
  <c r="N39" i="8"/>
  <c r="O55" i="8"/>
  <c r="N55" i="8"/>
  <c r="O71" i="8"/>
  <c r="N71" i="8"/>
  <c r="O87" i="8"/>
  <c r="N87" i="8"/>
  <c r="O103" i="8"/>
  <c r="N103" i="8"/>
  <c r="O14" i="8"/>
  <c r="N14" i="8"/>
  <c r="O78" i="8"/>
  <c r="N78" i="8"/>
  <c r="P84" i="8"/>
  <c r="U84" i="8" s="1"/>
  <c r="V84" i="8" s="1"/>
  <c r="W14" i="8"/>
  <c r="W50" i="8"/>
  <c r="W62" i="8"/>
  <c r="W94" i="8"/>
  <c r="X104" i="8"/>
  <c r="W34" i="8"/>
  <c r="W82" i="8"/>
  <c r="X53" i="8"/>
  <c r="X12" i="8"/>
  <c r="W16" i="8"/>
  <c r="P16" i="8"/>
  <c r="U16" i="8" s="1"/>
  <c r="V16" i="8" s="1"/>
  <c r="W44" i="8"/>
  <c r="P44" i="8"/>
  <c r="U44" i="8" s="1"/>
  <c r="V44" i="8" s="1"/>
  <c r="W53" i="8"/>
  <c r="P53" i="8"/>
  <c r="U53" i="8" s="1"/>
  <c r="V53" i="8" s="1"/>
  <c r="W101" i="8"/>
  <c r="P101" i="8"/>
  <c r="U101" i="8" s="1"/>
  <c r="V101" i="8" s="1"/>
  <c r="O46" i="8"/>
  <c r="N46" i="8"/>
  <c r="W76" i="8"/>
  <c r="W124" i="8"/>
  <c r="P124" i="8"/>
  <c r="U124" i="8" s="1"/>
  <c r="V124" i="8" s="1"/>
  <c r="W114" i="8"/>
  <c r="N114" i="8"/>
  <c r="O114" i="8"/>
  <c r="W113" i="8"/>
  <c r="O4" i="8"/>
  <c r="P4" i="8" s="1"/>
  <c r="U4" i="8" s="1"/>
  <c r="V4" i="8" s="1"/>
  <c r="O85" i="8"/>
  <c r="X85" i="8" s="1"/>
  <c r="O109" i="8"/>
  <c r="P109" i="8" s="1"/>
  <c r="U109" i="8" s="1"/>
  <c r="V109" i="8" s="1"/>
  <c r="O38" i="8"/>
  <c r="P38" i="8" s="1"/>
  <c r="U38" i="8" s="1"/>
  <c r="V38" i="8" s="1"/>
  <c r="O118" i="8"/>
  <c r="X118" i="8" s="1"/>
  <c r="O10" i="8"/>
  <c r="X66" i="8"/>
  <c r="X90" i="8"/>
  <c r="X64" i="8"/>
  <c r="X96" i="8"/>
  <c r="N3" i="8"/>
  <c r="O3" i="8"/>
  <c r="N11" i="8"/>
  <c r="O11" i="8"/>
  <c r="O19" i="8"/>
  <c r="N19" i="8"/>
  <c r="N27" i="8"/>
  <c r="O27" i="8"/>
  <c r="O35" i="8"/>
  <c r="N35" i="8"/>
  <c r="O43" i="8"/>
  <c r="N43" i="8"/>
  <c r="O51" i="8"/>
  <c r="P51" i="8" s="1"/>
  <c r="U51" i="8" s="1"/>
  <c r="V51" i="8" s="1"/>
  <c r="N51" i="8"/>
  <c r="O59" i="8"/>
  <c r="N59" i="8"/>
  <c r="O67" i="8"/>
  <c r="P67" i="8" s="1"/>
  <c r="U67" i="8" s="1"/>
  <c r="V67" i="8" s="1"/>
  <c r="N67" i="8"/>
  <c r="O75" i="8"/>
  <c r="N75" i="8"/>
  <c r="O83" i="8"/>
  <c r="P83" i="8" s="1"/>
  <c r="U83" i="8" s="1"/>
  <c r="V83" i="8" s="1"/>
  <c r="N83" i="8"/>
  <c r="O91" i="8"/>
  <c r="N91" i="8"/>
  <c r="O99" i="8"/>
  <c r="P99" i="8" s="1"/>
  <c r="U99" i="8" s="1"/>
  <c r="V99" i="8" s="1"/>
  <c r="N99" i="8"/>
  <c r="O107" i="8"/>
  <c r="N107" i="8"/>
  <c r="O115" i="8"/>
  <c r="P115" i="8" s="1"/>
  <c r="U115" i="8" s="1"/>
  <c r="V115" i="8" s="1"/>
  <c r="N115" i="8"/>
  <c r="O123" i="8"/>
  <c r="N123" i="8"/>
  <c r="W15" i="8"/>
  <c r="W31" i="8"/>
  <c r="W47" i="8"/>
  <c r="W63" i="8"/>
  <c r="W79" i="8"/>
  <c r="W95" i="8"/>
  <c r="W111" i="8"/>
  <c r="W119" i="8"/>
  <c r="O76" i="8"/>
  <c r="X76" i="8" s="1"/>
  <c r="O108" i="8"/>
  <c r="X108" i="8" s="1"/>
  <c r="P88" i="8"/>
  <c r="U88" i="8" s="1"/>
  <c r="V88" i="8" s="1"/>
  <c r="P104" i="8"/>
  <c r="U104" i="8" s="1"/>
  <c r="V104" i="8" s="1"/>
  <c r="P120" i="8"/>
  <c r="U120" i="8" s="1"/>
  <c r="V120" i="8" s="1"/>
  <c r="W25" i="8"/>
  <c r="P61" i="8"/>
  <c r="U61" i="8" s="1"/>
  <c r="V61" i="8" s="1"/>
  <c r="W93" i="8"/>
  <c r="X84" i="8"/>
  <c r="P40" i="8"/>
  <c r="U40" i="8" s="1"/>
  <c r="V40" i="8" s="1"/>
  <c r="W60" i="8"/>
  <c r="X105" i="8"/>
  <c r="W6" i="8"/>
  <c r="P6" i="8"/>
  <c r="U6" i="8" s="1"/>
  <c r="V6" i="8" s="1"/>
  <c r="W26" i="8"/>
  <c r="P26" i="8"/>
  <c r="U26" i="8" s="1"/>
  <c r="V26" i="8" s="1"/>
  <c r="W42" i="8"/>
  <c r="W58" i="8"/>
  <c r="P58" i="8"/>
  <c r="U58" i="8" s="1"/>
  <c r="V58" i="8" s="1"/>
  <c r="W74" i="8"/>
  <c r="P74" i="8"/>
  <c r="U74" i="8" s="1"/>
  <c r="V74" i="8" s="1"/>
  <c r="W90" i="8"/>
  <c r="P90" i="8"/>
  <c r="U90" i="8" s="1"/>
  <c r="V90" i="8" s="1"/>
  <c r="W106" i="8"/>
  <c r="W118" i="8"/>
  <c r="X40" i="8"/>
  <c r="X88" i="8"/>
  <c r="W33" i="8"/>
  <c r="P33" i="8"/>
  <c r="U33" i="8" s="1"/>
  <c r="V33" i="8" s="1"/>
  <c r="W41" i="8"/>
  <c r="W57" i="8"/>
  <c r="W73" i="8"/>
  <c r="W89" i="8"/>
  <c r="W105" i="8"/>
  <c r="W121" i="8"/>
  <c r="O30" i="8"/>
  <c r="P30" i="8" s="1"/>
  <c r="U30" i="8" s="1"/>
  <c r="V30" i="8" s="1"/>
  <c r="N30" i="8"/>
  <c r="X52" i="8"/>
  <c r="X73" i="8"/>
  <c r="O121" i="8"/>
  <c r="P121" i="8" s="1"/>
  <c r="U121" i="8" s="1"/>
  <c r="V121" i="8" s="1"/>
  <c r="W10" i="8"/>
  <c r="P10" i="8"/>
  <c r="U10" i="8" s="1"/>
  <c r="V10" i="8" s="1"/>
  <c r="P22" i="8"/>
  <c r="U22" i="8" s="1"/>
  <c r="V22" i="8" s="1"/>
  <c r="W22" i="8"/>
  <c r="W38" i="8"/>
  <c r="P54" i="8"/>
  <c r="U54" i="8" s="1"/>
  <c r="V54" i="8" s="1"/>
  <c r="W54" i="8"/>
  <c r="W70" i="8"/>
  <c r="P70" i="8"/>
  <c r="U70" i="8" s="1"/>
  <c r="V70" i="8" s="1"/>
  <c r="P86" i="8"/>
  <c r="U86" i="8" s="1"/>
  <c r="V86" i="8" s="1"/>
  <c r="W86" i="8"/>
  <c r="W122" i="8"/>
  <c r="X37" i="8"/>
  <c r="X49" i="8"/>
  <c r="X61" i="8"/>
  <c r="X81" i="8"/>
  <c r="X93" i="8"/>
  <c r="X113" i="8"/>
  <c r="X125" i="8"/>
  <c r="O42" i="8"/>
  <c r="P42" i="8" s="1"/>
  <c r="U42" i="8" s="1"/>
  <c r="V42" i="8" s="1"/>
  <c r="X102" i="8"/>
  <c r="X48" i="8"/>
  <c r="X112" i="8"/>
  <c r="N15" i="8"/>
  <c r="O15" i="8"/>
  <c r="N31" i="8"/>
  <c r="O31" i="8"/>
  <c r="O47" i="8"/>
  <c r="N47" i="8"/>
  <c r="O63" i="8"/>
  <c r="N63" i="8"/>
  <c r="O79" i="8"/>
  <c r="N79" i="8"/>
  <c r="O95" i="8"/>
  <c r="N95" i="8"/>
  <c r="O111" i="8"/>
  <c r="N111" i="8"/>
  <c r="O119" i="8"/>
  <c r="N119" i="8"/>
  <c r="P36" i="8"/>
  <c r="U36" i="8" s="1"/>
  <c r="V36" i="8" s="1"/>
  <c r="W112" i="8"/>
  <c r="W17" i="8"/>
  <c r="P17" i="8"/>
  <c r="U17" i="8" s="1"/>
  <c r="V17" i="8" s="1"/>
  <c r="X36" i="8"/>
  <c r="W30" i="8"/>
  <c r="P78" i="8"/>
  <c r="U78" i="8" s="1"/>
  <c r="V78" i="8" s="1"/>
  <c r="W78" i="8"/>
  <c r="N34" i="8"/>
  <c r="O34" i="8"/>
  <c r="N82" i="8"/>
  <c r="O82" i="8"/>
  <c r="W21" i="8"/>
  <c r="P81" i="8"/>
  <c r="U81" i="8" s="1"/>
  <c r="V81" i="8" s="1"/>
  <c r="X4" i="8"/>
  <c r="O110" i="8"/>
  <c r="N110" i="8"/>
  <c r="P110" i="8" s="1"/>
  <c r="U110" i="8" s="1"/>
  <c r="V110" i="8" s="1"/>
  <c r="W18" i="8"/>
  <c r="P18" i="8"/>
  <c r="U18" i="8" s="1"/>
  <c r="V18" i="8" s="1"/>
  <c r="W46" i="8"/>
  <c r="W66" i="8"/>
  <c r="P66" i="8"/>
  <c r="U66" i="8" s="1"/>
  <c r="V66" i="8" s="1"/>
  <c r="W110" i="8"/>
  <c r="P2" i="8"/>
  <c r="U2" i="8" s="1"/>
  <c r="W2" i="8"/>
  <c r="X65" i="8"/>
  <c r="X10" i="8"/>
  <c r="O106" i="8"/>
  <c r="P106" i="8" s="1"/>
  <c r="U106" i="8" s="1"/>
  <c r="V106" i="8" s="1"/>
  <c r="W4" i="8"/>
  <c r="W12" i="8"/>
  <c r="P12" i="8"/>
  <c r="U12" i="8" s="1"/>
  <c r="V12" i="8" s="1"/>
  <c r="W7" i="8"/>
  <c r="W23" i="8"/>
  <c r="W39" i="8"/>
  <c r="W55" i="8"/>
  <c r="W71" i="8"/>
  <c r="P71" i="8"/>
  <c r="U71" i="8" s="1"/>
  <c r="V71" i="8" s="1"/>
  <c r="W87" i="8"/>
  <c r="W103" i="8"/>
  <c r="P103" i="8"/>
  <c r="U103" i="8" s="1"/>
  <c r="V103" i="8" s="1"/>
  <c r="W28" i="8"/>
  <c r="W56" i="8"/>
  <c r="P56" i="8"/>
  <c r="U56" i="8" s="1"/>
  <c r="V56" i="8" s="1"/>
  <c r="W72" i="8"/>
  <c r="P72" i="8"/>
  <c r="U72" i="8" s="1"/>
  <c r="V72" i="8" s="1"/>
  <c r="W29" i="8"/>
  <c r="W69" i="8"/>
  <c r="W85" i="8"/>
  <c r="P85" i="8"/>
  <c r="U85" i="8" s="1"/>
  <c r="V85" i="8" s="1"/>
  <c r="W20" i="8"/>
  <c r="P20" i="8"/>
  <c r="U20" i="8" s="1"/>
  <c r="V20" i="8" s="1"/>
  <c r="W92" i="8"/>
  <c r="P92" i="8"/>
  <c r="U92" i="8" s="1"/>
  <c r="V92" i="8" s="1"/>
  <c r="W108" i="8"/>
  <c r="P108" i="8"/>
  <c r="U108" i="8" s="1"/>
  <c r="V108" i="8" s="1"/>
  <c r="X100" i="8"/>
  <c r="X116" i="8"/>
  <c r="W5" i="8"/>
  <c r="P49" i="8"/>
  <c r="U49" i="8" s="1"/>
  <c r="V49" i="8" s="1"/>
  <c r="W65" i="8"/>
  <c r="X68" i="8"/>
  <c r="X13" i="8"/>
  <c r="X21" i="8"/>
  <c r="X58" i="8"/>
  <c r="W8" i="8"/>
  <c r="X16" i="8"/>
  <c r="W3" i="8"/>
  <c r="W11" i="8"/>
  <c r="W19" i="8"/>
  <c r="W27" i="8"/>
  <c r="W35" i="8"/>
  <c r="W43" i="8"/>
  <c r="W51" i="8"/>
  <c r="W59" i="8"/>
  <c r="W67" i="8"/>
  <c r="W75" i="8"/>
  <c r="W83" i="8"/>
  <c r="W91" i="8"/>
  <c r="W99" i="8"/>
  <c r="W107" i="8"/>
  <c r="W115" i="8"/>
  <c r="W123" i="8"/>
  <c r="X28" i="8"/>
  <c r="X60" i="8"/>
  <c r="X92" i="8"/>
  <c r="X124" i="8"/>
  <c r="W24" i="8"/>
  <c r="P24" i="8"/>
  <c r="U24" i="8" s="1"/>
  <c r="V24" i="8" s="1"/>
  <c r="W52" i="8"/>
  <c r="P52" i="8"/>
  <c r="U52" i="8" s="1"/>
  <c r="V52" i="8" s="1"/>
  <c r="P64" i="8"/>
  <c r="U64" i="8" s="1"/>
  <c r="V64" i="8" s="1"/>
  <c r="W96" i="8"/>
  <c r="P96" i="8"/>
  <c r="U96" i="8" s="1"/>
  <c r="V96" i="8" s="1"/>
  <c r="P112" i="8"/>
  <c r="U112" i="8" s="1"/>
  <c r="V112" i="8" s="1"/>
  <c r="W9" i="8"/>
  <c r="P9" i="8"/>
  <c r="U9" i="8" s="1"/>
  <c r="V9" i="8" s="1"/>
  <c r="W45" i="8"/>
  <c r="P45" i="8"/>
  <c r="U45" i="8" s="1"/>
  <c r="V45" i="8" s="1"/>
  <c r="W77" i="8"/>
  <c r="P93" i="8"/>
  <c r="U93" i="8" s="1"/>
  <c r="V93" i="8" s="1"/>
  <c r="W109" i="8"/>
  <c r="W125" i="8"/>
  <c r="P125" i="8"/>
  <c r="U125" i="8" s="1"/>
  <c r="V125" i="8" s="1"/>
  <c r="O57" i="8"/>
  <c r="P57" i="8" s="1"/>
  <c r="U57" i="8" s="1"/>
  <c r="V57" i="8" s="1"/>
  <c r="W32" i="8"/>
  <c r="P32" i="8"/>
  <c r="U32" i="8" s="1"/>
  <c r="V32" i="8" s="1"/>
  <c r="W68" i="8"/>
  <c r="P68" i="8"/>
  <c r="U68" i="8" s="1"/>
  <c r="V68" i="8" s="1"/>
  <c r="W100" i="8"/>
  <c r="P100" i="8"/>
  <c r="U100" i="8" s="1"/>
  <c r="V100" i="8" s="1"/>
  <c r="P116" i="8"/>
  <c r="U116" i="8" s="1"/>
  <c r="V116" i="8" s="1"/>
  <c r="O94" i="8"/>
  <c r="N94" i="8"/>
  <c r="N50" i="8"/>
  <c r="O50" i="8"/>
  <c r="X72" i="8"/>
  <c r="X120" i="8"/>
  <c r="W13" i="8"/>
  <c r="P13" i="8"/>
  <c r="U13" i="8" s="1"/>
  <c r="V13" i="8" s="1"/>
  <c r="P73" i="8"/>
  <c r="U73" i="8" s="1"/>
  <c r="V73" i="8" s="1"/>
  <c r="X9" i="8"/>
  <c r="O62" i="8"/>
  <c r="N62" i="8"/>
  <c r="W102" i="8"/>
  <c r="P122" i="8"/>
  <c r="U122" i="8" s="1"/>
  <c r="V122" i="8" s="1"/>
  <c r="X5" i="8"/>
  <c r="X29" i="8"/>
  <c r="X26" i="8"/>
  <c r="X42" i="8"/>
  <c r="X122" i="8"/>
  <c r="X74" i="8"/>
  <c r="X98" i="8"/>
  <c r="P105" i="8" l="1"/>
  <c r="U105" i="8" s="1"/>
  <c r="V105" i="8" s="1"/>
  <c r="P60" i="8"/>
  <c r="U60" i="8" s="1"/>
  <c r="V60" i="8" s="1"/>
  <c r="X38" i="8"/>
  <c r="P89" i="8"/>
  <c r="U89" i="8" s="1"/>
  <c r="V89" i="8" s="1"/>
  <c r="P77" i="8"/>
  <c r="U77" i="8" s="1"/>
  <c r="V77" i="8" s="1"/>
  <c r="W104" i="8"/>
  <c r="X109" i="8"/>
  <c r="W80" i="8"/>
  <c r="P69" i="8"/>
  <c r="U69" i="8" s="1"/>
  <c r="V69" i="8" s="1"/>
  <c r="P48" i="8"/>
  <c r="U48" i="8" s="1"/>
  <c r="V48" i="8" s="1"/>
  <c r="P114" i="8"/>
  <c r="U114" i="8" s="1"/>
  <c r="V114" i="8" s="1"/>
  <c r="P117" i="8"/>
  <c r="U117" i="8" s="1"/>
  <c r="V117" i="8" s="1"/>
  <c r="P98" i="8"/>
  <c r="U98" i="8" s="1"/>
  <c r="V98" i="8" s="1"/>
  <c r="P97" i="8"/>
  <c r="U97" i="8" s="1"/>
  <c r="V97" i="8" s="1"/>
  <c r="X121" i="8"/>
  <c r="P25" i="8"/>
  <c r="U25" i="8" s="1"/>
  <c r="V25" i="8" s="1"/>
  <c r="P113" i="8"/>
  <c r="U113" i="8" s="1"/>
  <c r="V113" i="8" s="1"/>
  <c r="P35" i="8"/>
  <c r="U35" i="8" s="1"/>
  <c r="V35" i="8" s="1"/>
  <c r="P19" i="8"/>
  <c r="U19" i="8" s="1"/>
  <c r="V19" i="8" s="1"/>
  <c r="X3" i="8"/>
  <c r="X106" i="8"/>
  <c r="X34" i="8"/>
  <c r="X57" i="8"/>
  <c r="X123" i="8"/>
  <c r="X107" i="8"/>
  <c r="X91" i="8"/>
  <c r="X75" i="8"/>
  <c r="X59" i="8"/>
  <c r="X43" i="8"/>
  <c r="P27" i="8"/>
  <c r="U27" i="8" s="1"/>
  <c r="V27" i="8" s="1"/>
  <c r="P11" i="8"/>
  <c r="U11" i="8" s="1"/>
  <c r="V11" i="8" s="1"/>
  <c r="P50" i="8"/>
  <c r="U50" i="8" s="1"/>
  <c r="V50" i="8" s="1"/>
  <c r="X119" i="8"/>
  <c r="X95" i="8"/>
  <c r="X63" i="8"/>
  <c r="P31" i="8"/>
  <c r="U31" i="8" s="1"/>
  <c r="V31" i="8" s="1"/>
  <c r="X114" i="8"/>
  <c r="P21" i="8"/>
  <c r="U21" i="8" s="1"/>
  <c r="V21" i="8" s="1"/>
  <c r="X15" i="8"/>
  <c r="P14" i="8"/>
  <c r="U14" i="8" s="1"/>
  <c r="V14" i="8" s="1"/>
  <c r="P87" i="8"/>
  <c r="U87" i="8" s="1"/>
  <c r="V87" i="8" s="1"/>
  <c r="P55" i="8"/>
  <c r="U55" i="8" s="1"/>
  <c r="V55" i="8" s="1"/>
  <c r="X23" i="8"/>
  <c r="P94" i="8"/>
  <c r="U94" i="8" s="1"/>
  <c r="V94" i="8" s="1"/>
  <c r="W36" i="8"/>
  <c r="P102" i="8"/>
  <c r="U102" i="8" s="1"/>
  <c r="V102" i="8" s="1"/>
  <c r="P37" i="8"/>
  <c r="U37" i="8" s="1"/>
  <c r="V37" i="8" s="1"/>
  <c r="W40" i="8"/>
  <c r="P34" i="8"/>
  <c r="U34" i="8" s="1"/>
  <c r="V34" i="8" s="1"/>
  <c r="P65" i="8"/>
  <c r="U65" i="8" s="1"/>
  <c r="V65" i="8" s="1"/>
  <c r="X78" i="8"/>
  <c r="X103" i="8"/>
  <c r="X71" i="8"/>
  <c r="X39" i="8"/>
  <c r="X7" i="8"/>
  <c r="W61" i="8"/>
  <c r="P41" i="8"/>
  <c r="U41" i="8" s="1"/>
  <c r="V41" i="8" s="1"/>
  <c r="X46" i="8"/>
  <c r="W88" i="8"/>
  <c r="V2" i="8"/>
  <c r="X82" i="8"/>
  <c r="P95" i="8"/>
  <c r="U95" i="8" s="1"/>
  <c r="V95" i="8" s="1"/>
  <c r="P76" i="8"/>
  <c r="U76" i="8" s="1"/>
  <c r="V76" i="8" s="1"/>
  <c r="X50" i="8"/>
  <c r="W84" i="8"/>
  <c r="P23" i="8"/>
  <c r="U23" i="8" s="1"/>
  <c r="V23" i="8" s="1"/>
  <c r="X110" i="8"/>
  <c r="W49" i="8"/>
  <c r="X31" i="8"/>
  <c r="X30" i="8"/>
  <c r="P118" i="8"/>
  <c r="U118" i="8" s="1"/>
  <c r="V118" i="8" s="1"/>
  <c r="X27" i="8"/>
  <c r="X11" i="8"/>
  <c r="W120" i="8"/>
  <c r="P3" i="8"/>
  <c r="U3" i="8" s="1"/>
  <c r="V3" i="8" s="1"/>
  <c r="P119" i="8"/>
  <c r="U119" i="8" s="1"/>
  <c r="V119" i="8" s="1"/>
  <c r="P63" i="8"/>
  <c r="U63" i="8" s="1"/>
  <c r="V63" i="8" s="1"/>
  <c r="X62" i="8"/>
  <c r="X94" i="8"/>
  <c r="P123" i="8"/>
  <c r="U123" i="8" s="1"/>
  <c r="V123" i="8" s="1"/>
  <c r="P107" i="8"/>
  <c r="U107" i="8" s="1"/>
  <c r="V107" i="8" s="1"/>
  <c r="P91" i="8"/>
  <c r="U91" i="8" s="1"/>
  <c r="V91" i="8" s="1"/>
  <c r="P75" i="8"/>
  <c r="U75" i="8" s="1"/>
  <c r="V75" i="8" s="1"/>
  <c r="P59" i="8"/>
  <c r="U59" i="8" s="1"/>
  <c r="V59" i="8" s="1"/>
  <c r="P43" i="8"/>
  <c r="U43" i="8" s="1"/>
  <c r="V43" i="8" s="1"/>
  <c r="P46" i="8"/>
  <c r="U46" i="8" s="1"/>
  <c r="V46" i="8" s="1"/>
  <c r="X111" i="8"/>
  <c r="X79" i="8"/>
  <c r="X47" i="8"/>
  <c r="P111" i="8"/>
  <c r="U111" i="8" s="1"/>
  <c r="V111" i="8" s="1"/>
  <c r="P79" i="8"/>
  <c r="U79" i="8" s="1"/>
  <c r="V79" i="8" s="1"/>
  <c r="P47" i="8"/>
  <c r="U47" i="8" s="1"/>
  <c r="V47" i="8" s="1"/>
  <c r="P15" i="8"/>
  <c r="U15" i="8" s="1"/>
  <c r="V15" i="8" s="1"/>
  <c r="X115" i="8"/>
  <c r="X99" i="8"/>
  <c r="X83" i="8"/>
  <c r="X67" i="8"/>
  <c r="X51" i="8"/>
  <c r="X35" i="8"/>
  <c r="X19" i="8"/>
  <c r="P82" i="8"/>
  <c r="U82" i="8" s="1"/>
  <c r="V82" i="8" s="1"/>
  <c r="P62" i="8"/>
  <c r="U62" i="8" s="1"/>
  <c r="V62" i="8" s="1"/>
  <c r="X14" i="8"/>
  <c r="X87" i="8"/>
  <c r="X55" i="8"/>
  <c r="C7" i="6" l="1"/>
  <c r="B7" i="6"/>
  <c r="C9" i="6"/>
  <c r="B9" i="6"/>
  <c r="C8" i="6"/>
  <c r="B8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<sst xmlns="http://schemas.openxmlformats.org/spreadsheetml/2006/main" count="496" uniqueCount="84">
  <si>
    <t>fwd_a_fixed</t>
  </si>
  <si>
    <t>fwd_b_fixed</t>
  </si>
  <si>
    <t>fwd_c_fixed</t>
  </si>
  <si>
    <t>fwd_d_fixed</t>
  </si>
  <si>
    <t>fwd_e_fixed</t>
  </si>
  <si>
    <t>fwd_a_additional</t>
  </si>
  <si>
    <t>fwd_b_additional</t>
  </si>
  <si>
    <t>fwd_c_additional</t>
  </si>
  <si>
    <t>fwd_d_additional</t>
  </si>
  <si>
    <t>fwd_e_additional</t>
  </si>
  <si>
    <t>rto_a_fixed</t>
  </si>
  <si>
    <t>rto_a_additional</t>
  </si>
  <si>
    <t>rto_b_fixed</t>
  </si>
  <si>
    <t>rto_b_additional</t>
  </si>
  <si>
    <t>rto_c_fixed</t>
  </si>
  <si>
    <t>rto_c_additional</t>
  </si>
  <si>
    <t>rto_d_fixed</t>
  </si>
  <si>
    <t>rto_d_additional</t>
  </si>
  <si>
    <t>rto_e_fixed</t>
  </si>
  <si>
    <t>rto_e_additional</t>
  </si>
  <si>
    <t>Warehouse Pincode</t>
  </si>
  <si>
    <t>Customer Pincode</t>
  </si>
  <si>
    <t>Zone</t>
  </si>
  <si>
    <t>d</t>
  </si>
  <si>
    <t>b</t>
  </si>
  <si>
    <t>e</t>
  </si>
  <si>
    <t>AWB Code</t>
  </si>
  <si>
    <t>Order ID</t>
  </si>
  <si>
    <t>Charged Weight</t>
  </si>
  <si>
    <t>Type of Shipment</t>
  </si>
  <si>
    <t>Billing Amount (Rs.)</t>
  </si>
  <si>
    <t>Forward charges</t>
  </si>
  <si>
    <t>Forward and RTO charges</t>
  </si>
  <si>
    <t>SKU</t>
  </si>
  <si>
    <t>Weight (g)</t>
  </si>
  <si>
    <t>GIFTBOX202001</t>
  </si>
  <si>
    <t>GIFTBOX202004</t>
  </si>
  <si>
    <t>GIFTBOX202002</t>
  </si>
  <si>
    <t>GIFTBOX202003</t>
  </si>
  <si>
    <t>SACHETS001</t>
  </si>
  <si>
    <t>ExternOrderNo</t>
  </si>
  <si>
    <t>Order Qty</t>
  </si>
  <si>
    <t>Count</t>
  </si>
  <si>
    <t>Amount</t>
  </si>
  <si>
    <t>Total Orders - Correctly Charged</t>
  </si>
  <si>
    <t>Total Orders - Over Charged</t>
  </si>
  <si>
    <t>Total Orders - Under Charged</t>
  </si>
  <si>
    <t>AWB Number</t>
  </si>
  <si>
    <t>Total weight as per X (KG)</t>
  </si>
  <si>
    <t>Weight slab as per X (KG)</t>
  </si>
  <si>
    <t>Total weight as per Courier Company (KG)</t>
  </si>
  <si>
    <t>Weight slab charged by Courier Company (KG)</t>
  </si>
  <si>
    <t>Delivery Zone as per X</t>
  </si>
  <si>
    <t>Delivery Zone charged by Courier Company</t>
  </si>
  <si>
    <t>Expected Charge as per X (Rs.)</t>
  </si>
  <si>
    <t xml:space="preserve">Charges Billed by Courier Company (Rs.) </t>
  </si>
  <si>
    <t>Difference Between Expected Charges and Billed Charges (Rs.)</t>
  </si>
  <si>
    <t>D</t>
  </si>
  <si>
    <t>B</t>
  </si>
  <si>
    <t>Weight_Gm</t>
  </si>
  <si>
    <t>Total_Weight_Gm</t>
  </si>
  <si>
    <t>OrderNo</t>
  </si>
  <si>
    <t>Forward Charges Applicable</t>
  </si>
  <si>
    <t>RTO Charges Applicable</t>
  </si>
  <si>
    <t>Total weight as per X (G)</t>
  </si>
  <si>
    <t>Weight slab as per X (G)</t>
  </si>
  <si>
    <t>Delivery zone as per X</t>
  </si>
  <si>
    <t>Forward_fixed _charges(X)</t>
  </si>
  <si>
    <t>Forward_additional_charges(X)</t>
  </si>
  <si>
    <t>RTO_Fixed_Charges(X)</t>
  </si>
  <si>
    <t>RTO_additional_Charges(X)</t>
  </si>
  <si>
    <t>Expected_charge as per X (Rs)</t>
  </si>
  <si>
    <t>Charges Billed by Courier Company (Rs.) </t>
  </si>
  <si>
    <t>Discount Applied (%)</t>
  </si>
  <si>
    <t>Net Forward Charges per KG (Rs./KG)</t>
  </si>
  <si>
    <t>Net RTO Charges per KG (Rs./KG)</t>
  </si>
  <si>
    <t>Yes</t>
  </si>
  <si>
    <t>Fwd_Fixed</t>
  </si>
  <si>
    <t>A</t>
  </si>
  <si>
    <t>C</t>
  </si>
  <si>
    <t>E</t>
  </si>
  <si>
    <t>Fwd_Additional</t>
  </si>
  <si>
    <t>RTO_Fixed</t>
  </si>
  <si>
    <t>RTO_Additional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</si>
</sst>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Bahnschrift Light Condensed"/>
      <family val="2"/>
    </font>
    <font>
      <b/>
      <sz val="16"/>
      <color theme="1"/>
      <name val="Bahnschrift Light Condensed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C00000"/>
      <name val="Bahnschrift Light Condensed"/>
      <family val="2"/>
    </font>
    <font>
      <b/>
      <sz val="11"/>
      <name val="Bahnschrift Light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A533-890E-42E4-AE91-748126AFACFD}">
  <dimension ref="A1:H125"/>
  <sheetViews>
    <sheetView workbookViewId="0">
      <selection activeCell="K3" sqref="K3"/>
    </sheetView>
  </sheetViews>
  <sheetFormatPr defaultRowHeight="14.4" x14ac:dyDescent="0.3"/>
  <cols>
    <col min="1" max="1" width="14.5546875" customWidth="1"/>
    <col min="2" max="2" width="13.5546875" customWidth="1"/>
    <col min="3" max="3" width="15.33203125" bestFit="1" customWidth="1"/>
    <col min="4" max="4" width="19" bestFit="1" customWidth="1"/>
    <col min="5" max="5" width="17.44140625" bestFit="1" customWidth="1"/>
    <col min="6" max="6" width="5.44140625" bestFit="1" customWidth="1"/>
    <col min="7" max="7" width="23.5546875" bestFit="1" customWidth="1"/>
    <col min="8" max="8" width="18.88671875" bestFit="1" customWidth="1"/>
  </cols>
  <sheetData>
    <row r="1" spans="1:8" x14ac:dyDescent="0.3">
      <c r="A1" s="9" t="s">
        <v>26</v>
      </c>
      <c r="B1" s="9" t="s">
        <v>27</v>
      </c>
      <c r="C1" s="9" t="s">
        <v>28</v>
      </c>
      <c r="D1" s="9" t="s">
        <v>20</v>
      </c>
      <c r="E1" s="9" t="s">
        <v>21</v>
      </c>
      <c r="F1" s="9" t="s">
        <v>22</v>
      </c>
      <c r="G1" s="9" t="s">
        <v>29</v>
      </c>
      <c r="H1" s="9" t="s">
        <v>30</v>
      </c>
    </row>
    <row r="2" spans="1:8" x14ac:dyDescent="0.3">
      <c r="A2" s="10">
        <v>1091117222124</v>
      </c>
      <c r="B2" s="10">
        <v>2001806232</v>
      </c>
      <c r="C2" s="17">
        <v>1.3</v>
      </c>
      <c r="D2" s="10">
        <v>121003</v>
      </c>
      <c r="E2" s="10">
        <v>507101</v>
      </c>
      <c r="F2" s="11" t="s">
        <v>23</v>
      </c>
      <c r="G2" s="11" t="s">
        <v>31</v>
      </c>
      <c r="H2" s="17">
        <v>135</v>
      </c>
    </row>
    <row r="3" spans="1:8" x14ac:dyDescent="0.3">
      <c r="A3" s="10">
        <v>1091117222194</v>
      </c>
      <c r="B3" s="10">
        <v>2001806273</v>
      </c>
      <c r="C3" s="17">
        <v>1</v>
      </c>
      <c r="D3" s="10">
        <v>121003</v>
      </c>
      <c r="E3" s="10">
        <v>486886</v>
      </c>
      <c r="F3" s="11" t="s">
        <v>23</v>
      </c>
      <c r="G3" s="11" t="s">
        <v>31</v>
      </c>
      <c r="H3" s="17">
        <v>90.2</v>
      </c>
    </row>
    <row r="4" spans="1:8" x14ac:dyDescent="0.3">
      <c r="A4" s="10">
        <v>1091117222931</v>
      </c>
      <c r="B4" s="10">
        <v>2001806408</v>
      </c>
      <c r="C4" s="17">
        <v>2.5</v>
      </c>
      <c r="D4" s="10">
        <v>121003</v>
      </c>
      <c r="E4" s="10">
        <v>532484</v>
      </c>
      <c r="F4" s="11" t="s">
        <v>23</v>
      </c>
      <c r="G4" s="11" t="s">
        <v>31</v>
      </c>
      <c r="H4" s="17">
        <v>224.6</v>
      </c>
    </row>
    <row r="5" spans="1:8" x14ac:dyDescent="0.3">
      <c r="A5" s="10">
        <v>1091117223244</v>
      </c>
      <c r="B5" s="10">
        <v>2001806458</v>
      </c>
      <c r="C5" s="17">
        <v>1</v>
      </c>
      <c r="D5" s="10">
        <v>121003</v>
      </c>
      <c r="E5" s="10">
        <v>143001</v>
      </c>
      <c r="F5" s="11" t="s">
        <v>24</v>
      </c>
      <c r="G5" s="11" t="s">
        <v>31</v>
      </c>
      <c r="H5" s="17">
        <v>61.3</v>
      </c>
    </row>
    <row r="6" spans="1:8" x14ac:dyDescent="0.3">
      <c r="A6" s="10">
        <v>1091117229345</v>
      </c>
      <c r="B6" s="10">
        <v>2001807012</v>
      </c>
      <c r="C6" s="17">
        <v>0.15</v>
      </c>
      <c r="D6" s="10">
        <v>121003</v>
      </c>
      <c r="E6" s="10">
        <v>515591</v>
      </c>
      <c r="F6" s="11" t="s">
        <v>23</v>
      </c>
      <c r="G6" s="11" t="s">
        <v>31</v>
      </c>
      <c r="H6" s="17">
        <v>45.4</v>
      </c>
    </row>
    <row r="7" spans="1:8" x14ac:dyDescent="0.3">
      <c r="A7" s="10">
        <v>1091117229555</v>
      </c>
      <c r="B7" s="10">
        <v>2001806686</v>
      </c>
      <c r="C7" s="17">
        <v>0.15</v>
      </c>
      <c r="D7" s="10">
        <v>121003</v>
      </c>
      <c r="E7" s="10">
        <v>326502</v>
      </c>
      <c r="F7" s="11" t="s">
        <v>23</v>
      </c>
      <c r="G7" s="11" t="s">
        <v>31</v>
      </c>
      <c r="H7" s="17">
        <v>45.4</v>
      </c>
    </row>
    <row r="8" spans="1:8" x14ac:dyDescent="0.3">
      <c r="A8" s="10">
        <v>1091117229776</v>
      </c>
      <c r="B8" s="10">
        <v>2001806885</v>
      </c>
      <c r="C8" s="17">
        <v>1</v>
      </c>
      <c r="D8" s="10">
        <v>121003</v>
      </c>
      <c r="E8" s="10">
        <v>208019</v>
      </c>
      <c r="F8" s="11" t="s">
        <v>24</v>
      </c>
      <c r="G8" s="11" t="s">
        <v>31</v>
      </c>
      <c r="H8" s="17">
        <v>61.3</v>
      </c>
    </row>
    <row r="9" spans="1:8" x14ac:dyDescent="0.3">
      <c r="A9" s="10">
        <v>1091117323112</v>
      </c>
      <c r="B9" s="10">
        <v>2001807058</v>
      </c>
      <c r="C9" s="17">
        <v>1.1499999999999999</v>
      </c>
      <c r="D9" s="10">
        <v>121003</v>
      </c>
      <c r="E9" s="10">
        <v>140301</v>
      </c>
      <c r="F9" s="11" t="s">
        <v>24</v>
      </c>
      <c r="G9" s="11" t="s">
        <v>31</v>
      </c>
      <c r="H9" s="17">
        <v>89.6</v>
      </c>
    </row>
    <row r="10" spans="1:8" x14ac:dyDescent="0.3">
      <c r="A10" s="10">
        <v>1091117323812</v>
      </c>
      <c r="B10" s="10">
        <v>2001807186</v>
      </c>
      <c r="C10" s="17">
        <v>0.5</v>
      </c>
      <c r="D10" s="10">
        <v>121003</v>
      </c>
      <c r="E10" s="10">
        <v>396001</v>
      </c>
      <c r="F10" s="11" t="s">
        <v>23</v>
      </c>
      <c r="G10" s="11" t="s">
        <v>31</v>
      </c>
      <c r="H10" s="17">
        <v>45.4</v>
      </c>
    </row>
    <row r="11" spans="1:8" x14ac:dyDescent="0.3">
      <c r="A11" s="10">
        <v>1091117324206</v>
      </c>
      <c r="B11" s="10">
        <v>2001807290</v>
      </c>
      <c r="C11" s="17">
        <v>0.5</v>
      </c>
      <c r="D11" s="10">
        <v>121003</v>
      </c>
      <c r="E11" s="10">
        <v>711106</v>
      </c>
      <c r="F11" s="11" t="s">
        <v>23</v>
      </c>
      <c r="G11" s="11" t="s">
        <v>31</v>
      </c>
      <c r="H11" s="17">
        <v>45.4</v>
      </c>
    </row>
    <row r="12" spans="1:8" x14ac:dyDescent="0.3">
      <c r="A12" s="10">
        <v>1091117326612</v>
      </c>
      <c r="B12" s="10">
        <v>2001807814</v>
      </c>
      <c r="C12" s="17">
        <v>0.79</v>
      </c>
      <c r="D12" s="10">
        <v>121003</v>
      </c>
      <c r="E12" s="10">
        <v>284001</v>
      </c>
      <c r="F12" s="11" t="s">
        <v>24</v>
      </c>
      <c r="G12" s="11" t="s">
        <v>31</v>
      </c>
      <c r="H12" s="17">
        <v>61.3</v>
      </c>
    </row>
    <row r="13" spans="1:8" x14ac:dyDescent="0.3">
      <c r="A13" s="10">
        <v>1091117327172</v>
      </c>
      <c r="B13" s="10">
        <v>2001807931</v>
      </c>
      <c r="C13" s="17">
        <v>0.72</v>
      </c>
      <c r="D13" s="10">
        <v>121003</v>
      </c>
      <c r="E13" s="10">
        <v>441601</v>
      </c>
      <c r="F13" s="11" t="s">
        <v>23</v>
      </c>
      <c r="G13" s="11" t="s">
        <v>31</v>
      </c>
      <c r="H13" s="17">
        <v>90.2</v>
      </c>
    </row>
    <row r="14" spans="1:8" x14ac:dyDescent="0.3">
      <c r="A14" s="10">
        <v>1091117327275</v>
      </c>
      <c r="B14" s="10">
        <v>2001807956</v>
      </c>
      <c r="C14" s="17">
        <v>1.08</v>
      </c>
      <c r="D14" s="10">
        <v>121003</v>
      </c>
      <c r="E14" s="10">
        <v>248006</v>
      </c>
      <c r="F14" s="11" t="s">
        <v>24</v>
      </c>
      <c r="G14" s="11" t="s">
        <v>31</v>
      </c>
      <c r="H14" s="17">
        <v>89.6</v>
      </c>
    </row>
    <row r="15" spans="1:8" x14ac:dyDescent="0.3">
      <c r="A15" s="10">
        <v>1091117327312</v>
      </c>
      <c r="B15" s="10">
        <v>2001807960</v>
      </c>
      <c r="C15" s="17">
        <v>1</v>
      </c>
      <c r="D15" s="10">
        <v>121003</v>
      </c>
      <c r="E15" s="10">
        <v>485001</v>
      </c>
      <c r="F15" s="11" t="s">
        <v>23</v>
      </c>
      <c r="G15" s="11" t="s">
        <v>31</v>
      </c>
      <c r="H15" s="17">
        <v>90.2</v>
      </c>
    </row>
    <row r="16" spans="1:8" x14ac:dyDescent="0.3">
      <c r="A16" s="10">
        <v>1091117327695</v>
      </c>
      <c r="B16" s="10">
        <v>2001807930</v>
      </c>
      <c r="C16" s="17">
        <v>0.15</v>
      </c>
      <c r="D16" s="10">
        <v>121003</v>
      </c>
      <c r="E16" s="10">
        <v>845438</v>
      </c>
      <c r="F16" s="11" t="s">
        <v>23</v>
      </c>
      <c r="G16" s="11" t="s">
        <v>31</v>
      </c>
      <c r="H16" s="17">
        <v>45.4</v>
      </c>
    </row>
    <row r="17" spans="1:8" x14ac:dyDescent="0.3">
      <c r="A17" s="10">
        <v>1091117435005</v>
      </c>
      <c r="B17" s="10">
        <v>2001808102</v>
      </c>
      <c r="C17" s="17">
        <v>1.28</v>
      </c>
      <c r="D17" s="10">
        <v>121003</v>
      </c>
      <c r="E17" s="10">
        <v>463106</v>
      </c>
      <c r="F17" s="11" t="s">
        <v>23</v>
      </c>
      <c r="G17" s="11" t="s">
        <v>31</v>
      </c>
      <c r="H17" s="17">
        <v>135</v>
      </c>
    </row>
    <row r="18" spans="1:8" x14ac:dyDescent="0.3">
      <c r="A18" s="10">
        <v>1091117435134</v>
      </c>
      <c r="B18" s="10">
        <v>2001808118</v>
      </c>
      <c r="C18" s="17">
        <v>0.5</v>
      </c>
      <c r="D18" s="10">
        <v>121003</v>
      </c>
      <c r="E18" s="10">
        <v>140301</v>
      </c>
      <c r="F18" s="11" t="s">
        <v>24</v>
      </c>
      <c r="G18" s="11" t="s">
        <v>31</v>
      </c>
      <c r="H18" s="17">
        <v>33</v>
      </c>
    </row>
    <row r="19" spans="1:8" x14ac:dyDescent="0.3">
      <c r="A19" s="10">
        <v>1091117435370</v>
      </c>
      <c r="B19" s="10">
        <v>2001808207</v>
      </c>
      <c r="C19" s="17">
        <v>0.79</v>
      </c>
      <c r="D19" s="10">
        <v>121003</v>
      </c>
      <c r="E19" s="10">
        <v>495671</v>
      </c>
      <c r="F19" s="11" t="s">
        <v>23</v>
      </c>
      <c r="G19" s="11" t="s">
        <v>31</v>
      </c>
      <c r="H19" s="17">
        <v>90.2</v>
      </c>
    </row>
    <row r="20" spans="1:8" x14ac:dyDescent="0.3">
      <c r="A20" s="10">
        <v>1091117435661</v>
      </c>
      <c r="B20" s="10">
        <v>2001808295</v>
      </c>
      <c r="C20" s="17">
        <v>0.2</v>
      </c>
      <c r="D20" s="10">
        <v>121003</v>
      </c>
      <c r="E20" s="10">
        <v>673002</v>
      </c>
      <c r="F20" s="11" t="s">
        <v>25</v>
      </c>
      <c r="G20" s="11" t="s">
        <v>32</v>
      </c>
      <c r="H20" s="17">
        <v>107.3</v>
      </c>
    </row>
    <row r="21" spans="1:8" x14ac:dyDescent="0.3">
      <c r="A21" s="10">
        <v>1091117436383</v>
      </c>
      <c r="B21" s="10">
        <v>2001808507</v>
      </c>
      <c r="C21" s="17">
        <v>0.79</v>
      </c>
      <c r="D21" s="10">
        <v>121003</v>
      </c>
      <c r="E21" s="10">
        <v>208002</v>
      </c>
      <c r="F21" s="11" t="s">
        <v>24</v>
      </c>
      <c r="G21" s="11" t="s">
        <v>31</v>
      </c>
      <c r="H21" s="17">
        <v>61.3</v>
      </c>
    </row>
    <row r="22" spans="1:8" x14ac:dyDescent="0.3">
      <c r="A22" s="10">
        <v>1091117436464</v>
      </c>
      <c r="B22" s="10">
        <v>2001808542</v>
      </c>
      <c r="C22" s="17">
        <v>0.86</v>
      </c>
      <c r="D22" s="10">
        <v>121003</v>
      </c>
      <c r="E22" s="10">
        <v>416010</v>
      </c>
      <c r="F22" s="11" t="s">
        <v>23</v>
      </c>
      <c r="G22" s="11" t="s">
        <v>31</v>
      </c>
      <c r="H22" s="17">
        <v>90.2</v>
      </c>
    </row>
    <row r="23" spans="1:8" x14ac:dyDescent="0.3">
      <c r="A23" s="10">
        <v>1091117437050</v>
      </c>
      <c r="B23" s="10">
        <v>2001808675</v>
      </c>
      <c r="C23" s="17">
        <v>1.2</v>
      </c>
      <c r="D23" s="10">
        <v>121003</v>
      </c>
      <c r="E23" s="10">
        <v>226010</v>
      </c>
      <c r="F23" s="11" t="s">
        <v>24</v>
      </c>
      <c r="G23" s="11" t="s">
        <v>31</v>
      </c>
      <c r="H23" s="17">
        <v>89.6</v>
      </c>
    </row>
    <row r="24" spans="1:8" x14ac:dyDescent="0.3">
      <c r="A24" s="10">
        <v>1091117327496</v>
      </c>
      <c r="B24" s="10">
        <v>2001807976</v>
      </c>
      <c r="C24" s="17">
        <v>0.7</v>
      </c>
      <c r="D24" s="10">
        <v>121003</v>
      </c>
      <c r="E24" s="10">
        <v>400705</v>
      </c>
      <c r="F24" s="11" t="s">
        <v>23</v>
      </c>
      <c r="G24" s="11" t="s">
        <v>32</v>
      </c>
      <c r="H24" s="17">
        <v>172.8</v>
      </c>
    </row>
    <row r="25" spans="1:8" x14ac:dyDescent="0.3">
      <c r="A25" s="10">
        <v>1091118547832</v>
      </c>
      <c r="B25" s="10">
        <v>2001812838</v>
      </c>
      <c r="C25" s="17">
        <v>0.6</v>
      </c>
      <c r="D25" s="10">
        <v>121003</v>
      </c>
      <c r="E25" s="10">
        <v>262405</v>
      </c>
      <c r="F25" s="11" t="s">
        <v>24</v>
      </c>
      <c r="G25" s="11" t="s">
        <v>32</v>
      </c>
      <c r="H25" s="17">
        <v>102.3</v>
      </c>
    </row>
    <row r="26" spans="1:8" x14ac:dyDescent="0.3">
      <c r="A26" s="10">
        <v>1091119398844</v>
      </c>
      <c r="B26" s="10">
        <v>2001816684</v>
      </c>
      <c r="C26" s="17">
        <v>0.99</v>
      </c>
      <c r="D26" s="10">
        <v>121003</v>
      </c>
      <c r="E26" s="10">
        <v>394210</v>
      </c>
      <c r="F26" s="11" t="s">
        <v>23</v>
      </c>
      <c r="G26" s="11" t="s">
        <v>32</v>
      </c>
      <c r="H26" s="17">
        <v>172.8</v>
      </c>
    </row>
    <row r="27" spans="1:8" x14ac:dyDescent="0.3">
      <c r="A27" s="10">
        <v>1091119630264</v>
      </c>
      <c r="B27" s="10">
        <v>2001817160</v>
      </c>
      <c r="C27" s="17">
        <v>0.7</v>
      </c>
      <c r="D27" s="10">
        <v>121003</v>
      </c>
      <c r="E27" s="10">
        <v>411014</v>
      </c>
      <c r="F27" s="11" t="s">
        <v>23</v>
      </c>
      <c r="G27" s="11" t="s">
        <v>32</v>
      </c>
      <c r="H27" s="17">
        <v>172.8</v>
      </c>
    </row>
    <row r="28" spans="1:8" x14ac:dyDescent="0.3">
      <c r="A28" s="10">
        <v>1091120014461</v>
      </c>
      <c r="B28" s="10">
        <v>2001818390</v>
      </c>
      <c r="C28" s="17">
        <v>0.8</v>
      </c>
      <c r="D28" s="10">
        <v>121003</v>
      </c>
      <c r="E28" s="10">
        <v>783301</v>
      </c>
      <c r="F28" s="11" t="s">
        <v>25</v>
      </c>
      <c r="G28" s="11" t="s">
        <v>32</v>
      </c>
      <c r="H28" s="17">
        <v>213.5</v>
      </c>
    </row>
    <row r="29" spans="1:8" x14ac:dyDescent="0.3">
      <c r="A29" s="10">
        <v>1091120959015</v>
      </c>
      <c r="B29" s="10">
        <v>2001821190</v>
      </c>
      <c r="C29" s="17">
        <v>1.2</v>
      </c>
      <c r="D29" s="10">
        <v>121003</v>
      </c>
      <c r="E29" s="10">
        <v>486661</v>
      </c>
      <c r="F29" s="11" t="s">
        <v>23</v>
      </c>
      <c r="G29" s="11" t="s">
        <v>32</v>
      </c>
      <c r="H29" s="17">
        <v>258.89999999999998</v>
      </c>
    </row>
    <row r="30" spans="1:8" x14ac:dyDescent="0.3">
      <c r="A30" s="10">
        <v>1091121485824</v>
      </c>
      <c r="B30" s="10">
        <v>2001817093</v>
      </c>
      <c r="C30" s="17">
        <v>1.3</v>
      </c>
      <c r="D30" s="10">
        <v>121003</v>
      </c>
      <c r="E30" s="10">
        <v>244001</v>
      </c>
      <c r="F30" s="11" t="s">
        <v>24</v>
      </c>
      <c r="G30" s="11" t="s">
        <v>32</v>
      </c>
      <c r="H30" s="17">
        <v>151.1</v>
      </c>
    </row>
    <row r="31" spans="1:8" x14ac:dyDescent="0.3">
      <c r="A31" s="10">
        <v>1091121666133</v>
      </c>
      <c r="B31" s="10">
        <v>2001823564</v>
      </c>
      <c r="C31" s="17">
        <v>0.7</v>
      </c>
      <c r="D31" s="10">
        <v>121003</v>
      </c>
      <c r="E31" s="10">
        <v>492001</v>
      </c>
      <c r="F31" s="11" t="s">
        <v>23</v>
      </c>
      <c r="G31" s="11" t="s">
        <v>32</v>
      </c>
      <c r="H31" s="17">
        <v>172.8</v>
      </c>
    </row>
    <row r="32" spans="1:8" x14ac:dyDescent="0.3">
      <c r="A32" s="10">
        <v>1091121981575</v>
      </c>
      <c r="B32" s="10">
        <v>2001825261</v>
      </c>
      <c r="C32" s="17">
        <v>1.6</v>
      </c>
      <c r="D32" s="10">
        <v>121003</v>
      </c>
      <c r="E32" s="10">
        <v>517128</v>
      </c>
      <c r="F32" s="11" t="s">
        <v>23</v>
      </c>
      <c r="G32" s="11" t="s">
        <v>32</v>
      </c>
      <c r="H32" s="17">
        <v>345</v>
      </c>
    </row>
    <row r="33" spans="1:8" x14ac:dyDescent="0.3">
      <c r="A33" s="10">
        <v>1091117957780</v>
      </c>
      <c r="B33" s="10">
        <v>2001811192</v>
      </c>
      <c r="C33" s="17">
        <v>1.1299999999999999</v>
      </c>
      <c r="D33" s="10">
        <v>121003</v>
      </c>
      <c r="E33" s="10">
        <v>562110</v>
      </c>
      <c r="F33" s="11" t="s">
        <v>23</v>
      </c>
      <c r="G33" s="11" t="s">
        <v>32</v>
      </c>
      <c r="H33" s="17">
        <v>258.89999999999998</v>
      </c>
    </row>
    <row r="34" spans="1:8" x14ac:dyDescent="0.3">
      <c r="A34" s="10">
        <v>1091121482593</v>
      </c>
      <c r="B34" s="10">
        <v>2001809917</v>
      </c>
      <c r="C34" s="17">
        <v>0.6</v>
      </c>
      <c r="D34" s="10">
        <v>121003</v>
      </c>
      <c r="E34" s="10">
        <v>831006</v>
      </c>
      <c r="F34" s="11" t="s">
        <v>23</v>
      </c>
      <c r="G34" s="11" t="s">
        <v>32</v>
      </c>
      <c r="H34" s="17">
        <v>172.8</v>
      </c>
    </row>
    <row r="35" spans="1:8" x14ac:dyDescent="0.3">
      <c r="A35" s="10">
        <v>1091117221940</v>
      </c>
      <c r="B35" s="10">
        <v>2001806210</v>
      </c>
      <c r="C35" s="17">
        <v>2.92</v>
      </c>
      <c r="D35" s="10">
        <v>121003</v>
      </c>
      <c r="E35" s="10">
        <v>140604</v>
      </c>
      <c r="F35" s="11" t="s">
        <v>24</v>
      </c>
      <c r="G35" s="11" t="s">
        <v>31</v>
      </c>
      <c r="H35" s="17">
        <v>174.5</v>
      </c>
    </row>
    <row r="36" spans="1:8" x14ac:dyDescent="0.3">
      <c r="A36" s="10">
        <v>1091117222065</v>
      </c>
      <c r="B36" s="10">
        <v>2001806226</v>
      </c>
      <c r="C36" s="17">
        <v>0.68</v>
      </c>
      <c r="D36" s="10">
        <v>121003</v>
      </c>
      <c r="E36" s="10">
        <v>723146</v>
      </c>
      <c r="F36" s="11" t="s">
        <v>23</v>
      </c>
      <c r="G36" s="11" t="s">
        <v>31</v>
      </c>
      <c r="H36" s="17">
        <v>90.2</v>
      </c>
    </row>
    <row r="37" spans="1:8" x14ac:dyDescent="0.3">
      <c r="A37" s="10">
        <v>1091117222080</v>
      </c>
      <c r="B37" s="10">
        <v>2001806229</v>
      </c>
      <c r="C37" s="17">
        <v>0.71</v>
      </c>
      <c r="D37" s="10">
        <v>121003</v>
      </c>
      <c r="E37" s="10">
        <v>421204</v>
      </c>
      <c r="F37" s="11" t="s">
        <v>23</v>
      </c>
      <c r="G37" s="11" t="s">
        <v>31</v>
      </c>
      <c r="H37" s="17">
        <v>90.2</v>
      </c>
    </row>
    <row r="38" spans="1:8" x14ac:dyDescent="0.3">
      <c r="A38" s="10">
        <v>1091117222135</v>
      </c>
      <c r="B38" s="10">
        <v>2001806233</v>
      </c>
      <c r="C38" s="17">
        <v>0.78</v>
      </c>
      <c r="D38" s="10">
        <v>121003</v>
      </c>
      <c r="E38" s="10">
        <v>263139</v>
      </c>
      <c r="F38" s="11" t="s">
        <v>24</v>
      </c>
      <c r="G38" s="11" t="s">
        <v>31</v>
      </c>
      <c r="H38" s="17">
        <v>61.3</v>
      </c>
    </row>
    <row r="39" spans="1:8" x14ac:dyDescent="0.3">
      <c r="A39" s="10">
        <v>1091117222146</v>
      </c>
      <c r="B39" s="10">
        <v>2001806251</v>
      </c>
      <c r="C39" s="17">
        <v>1.27</v>
      </c>
      <c r="D39" s="10">
        <v>121003</v>
      </c>
      <c r="E39" s="10">
        <v>743263</v>
      </c>
      <c r="F39" s="11" t="s">
        <v>23</v>
      </c>
      <c r="G39" s="11" t="s">
        <v>31</v>
      </c>
      <c r="H39" s="17">
        <v>135</v>
      </c>
    </row>
    <row r="40" spans="1:8" x14ac:dyDescent="0.3">
      <c r="A40" s="10">
        <v>1091117222570</v>
      </c>
      <c r="B40" s="10">
        <v>2001806338</v>
      </c>
      <c r="C40" s="17">
        <v>0.7</v>
      </c>
      <c r="D40" s="10">
        <v>121003</v>
      </c>
      <c r="E40" s="10">
        <v>392150</v>
      </c>
      <c r="F40" s="11" t="s">
        <v>23</v>
      </c>
      <c r="G40" s="11" t="s">
        <v>31</v>
      </c>
      <c r="H40" s="17">
        <v>90.2</v>
      </c>
    </row>
    <row r="41" spans="1:8" x14ac:dyDescent="0.3">
      <c r="A41" s="10">
        <v>1091117223211</v>
      </c>
      <c r="B41" s="10">
        <v>2001806446</v>
      </c>
      <c r="C41" s="17">
        <v>0.69</v>
      </c>
      <c r="D41" s="10">
        <v>121003</v>
      </c>
      <c r="E41" s="10">
        <v>382830</v>
      </c>
      <c r="F41" s="11" t="s">
        <v>23</v>
      </c>
      <c r="G41" s="11" t="s">
        <v>31</v>
      </c>
      <c r="H41" s="17">
        <v>90.2</v>
      </c>
    </row>
    <row r="42" spans="1:8" x14ac:dyDescent="0.3">
      <c r="A42" s="10">
        <v>1091117224353</v>
      </c>
      <c r="B42" s="10">
        <v>2001806533</v>
      </c>
      <c r="C42" s="17">
        <v>0.68</v>
      </c>
      <c r="D42" s="10">
        <v>121003</v>
      </c>
      <c r="E42" s="10">
        <v>711303</v>
      </c>
      <c r="F42" s="11" t="s">
        <v>23</v>
      </c>
      <c r="G42" s="11" t="s">
        <v>31</v>
      </c>
      <c r="H42" s="17">
        <v>90.2</v>
      </c>
    </row>
    <row r="43" spans="1:8" x14ac:dyDescent="0.3">
      <c r="A43" s="10">
        <v>1091117224611</v>
      </c>
      <c r="B43" s="10">
        <v>2001806547</v>
      </c>
      <c r="C43" s="17">
        <v>1</v>
      </c>
      <c r="D43" s="10">
        <v>121003</v>
      </c>
      <c r="E43" s="10">
        <v>283102</v>
      </c>
      <c r="F43" s="11" t="s">
        <v>24</v>
      </c>
      <c r="G43" s="11" t="s">
        <v>31</v>
      </c>
      <c r="H43" s="17">
        <v>61.3</v>
      </c>
    </row>
    <row r="44" spans="1:8" x14ac:dyDescent="0.3">
      <c r="A44" s="10">
        <v>1091117224902</v>
      </c>
      <c r="B44" s="10">
        <v>2001806567</v>
      </c>
      <c r="C44" s="17">
        <v>1.1599999999999999</v>
      </c>
      <c r="D44" s="10">
        <v>121003</v>
      </c>
      <c r="E44" s="10">
        <v>370201</v>
      </c>
      <c r="F44" s="11" t="s">
        <v>23</v>
      </c>
      <c r="G44" s="11" t="s">
        <v>31</v>
      </c>
      <c r="H44" s="17">
        <v>135</v>
      </c>
    </row>
    <row r="45" spans="1:8" x14ac:dyDescent="0.3">
      <c r="A45" s="10">
        <v>1091117225016</v>
      </c>
      <c r="B45" s="10">
        <v>2001806575</v>
      </c>
      <c r="C45" s="17">
        <v>0.68</v>
      </c>
      <c r="D45" s="10">
        <v>121003</v>
      </c>
      <c r="E45" s="10">
        <v>248001</v>
      </c>
      <c r="F45" s="11" t="s">
        <v>24</v>
      </c>
      <c r="G45" s="11" t="s">
        <v>31</v>
      </c>
      <c r="H45" s="17">
        <v>61.3</v>
      </c>
    </row>
    <row r="46" spans="1:8" x14ac:dyDescent="0.3">
      <c r="A46" s="10">
        <v>1091117225484</v>
      </c>
      <c r="B46" s="10">
        <v>2001806616</v>
      </c>
      <c r="C46" s="17">
        <v>1.08</v>
      </c>
      <c r="D46" s="10">
        <v>121003</v>
      </c>
      <c r="E46" s="10">
        <v>144001</v>
      </c>
      <c r="F46" s="11" t="s">
        <v>24</v>
      </c>
      <c r="G46" s="11" t="s">
        <v>31</v>
      </c>
      <c r="H46" s="17">
        <v>89.6</v>
      </c>
    </row>
    <row r="47" spans="1:8" x14ac:dyDescent="0.3">
      <c r="A47" s="10">
        <v>1091117226221</v>
      </c>
      <c r="B47" s="10">
        <v>2001806652</v>
      </c>
      <c r="C47" s="17">
        <v>0.69</v>
      </c>
      <c r="D47" s="10">
        <v>121003</v>
      </c>
      <c r="E47" s="10">
        <v>403401</v>
      </c>
      <c r="F47" s="11" t="s">
        <v>23</v>
      </c>
      <c r="G47" s="11" t="s">
        <v>31</v>
      </c>
      <c r="H47" s="17">
        <v>90.2</v>
      </c>
    </row>
    <row r="48" spans="1:8" x14ac:dyDescent="0.3">
      <c r="A48" s="10">
        <v>1091117226674</v>
      </c>
      <c r="B48" s="10">
        <v>2001806733</v>
      </c>
      <c r="C48" s="17">
        <v>1.1299999999999999</v>
      </c>
      <c r="D48" s="10">
        <v>121003</v>
      </c>
      <c r="E48" s="10">
        <v>452001</v>
      </c>
      <c r="F48" s="11" t="s">
        <v>23</v>
      </c>
      <c r="G48" s="11" t="s">
        <v>31</v>
      </c>
      <c r="H48" s="17">
        <v>135</v>
      </c>
    </row>
    <row r="49" spans="1:8" x14ac:dyDescent="0.3">
      <c r="A49" s="10">
        <v>1091117226711</v>
      </c>
      <c r="B49" s="10">
        <v>2001806735</v>
      </c>
      <c r="C49" s="17">
        <v>0.69</v>
      </c>
      <c r="D49" s="10">
        <v>121003</v>
      </c>
      <c r="E49" s="10">
        <v>721636</v>
      </c>
      <c r="F49" s="11" t="s">
        <v>23</v>
      </c>
      <c r="G49" s="11" t="s">
        <v>31</v>
      </c>
      <c r="H49" s="17">
        <v>90.2</v>
      </c>
    </row>
    <row r="50" spans="1:8" x14ac:dyDescent="0.3">
      <c r="A50" s="10">
        <v>1091117226910</v>
      </c>
      <c r="B50" s="10">
        <v>2001806726</v>
      </c>
      <c r="C50" s="17">
        <v>0.68</v>
      </c>
      <c r="D50" s="10">
        <v>121003</v>
      </c>
      <c r="E50" s="10">
        <v>831002</v>
      </c>
      <c r="F50" s="11" t="s">
        <v>23</v>
      </c>
      <c r="G50" s="11" t="s">
        <v>31</v>
      </c>
      <c r="H50" s="17">
        <v>90.2</v>
      </c>
    </row>
    <row r="51" spans="1:8" x14ac:dyDescent="0.3">
      <c r="A51" s="10">
        <v>1091117227573</v>
      </c>
      <c r="B51" s="10">
        <v>2001806776</v>
      </c>
      <c r="C51" s="17">
        <v>2.86</v>
      </c>
      <c r="D51" s="10">
        <v>121003</v>
      </c>
      <c r="E51" s="10">
        <v>226004</v>
      </c>
      <c r="F51" s="11" t="s">
        <v>24</v>
      </c>
      <c r="G51" s="11" t="s">
        <v>31</v>
      </c>
      <c r="H51" s="17">
        <v>174.5</v>
      </c>
    </row>
    <row r="52" spans="1:8" x14ac:dyDescent="0.3">
      <c r="A52" s="10">
        <v>1091117227816</v>
      </c>
      <c r="B52" s="10">
        <v>2001806801</v>
      </c>
      <c r="C52" s="17">
        <v>1.35</v>
      </c>
      <c r="D52" s="10">
        <v>121003</v>
      </c>
      <c r="E52" s="10">
        <v>248001</v>
      </c>
      <c r="F52" s="11" t="s">
        <v>24</v>
      </c>
      <c r="G52" s="11" t="s">
        <v>31</v>
      </c>
      <c r="H52" s="17">
        <v>89.6</v>
      </c>
    </row>
    <row r="53" spans="1:8" x14ac:dyDescent="0.3">
      <c r="A53" s="10">
        <v>1091117229290</v>
      </c>
      <c r="B53" s="10">
        <v>2001807004</v>
      </c>
      <c r="C53" s="17">
        <v>0.68</v>
      </c>
      <c r="D53" s="10">
        <v>121003</v>
      </c>
      <c r="E53" s="10">
        <v>410206</v>
      </c>
      <c r="F53" s="11" t="s">
        <v>23</v>
      </c>
      <c r="G53" s="11" t="s">
        <v>31</v>
      </c>
      <c r="H53" s="17">
        <v>90.2</v>
      </c>
    </row>
    <row r="54" spans="1:8" x14ac:dyDescent="0.3">
      <c r="A54" s="10">
        <v>1091117323005</v>
      </c>
      <c r="B54" s="10">
        <v>2001807036</v>
      </c>
      <c r="C54" s="17">
        <v>1.64</v>
      </c>
      <c r="D54" s="10">
        <v>121003</v>
      </c>
      <c r="E54" s="10">
        <v>516503</v>
      </c>
      <c r="F54" s="11" t="s">
        <v>23</v>
      </c>
      <c r="G54" s="11" t="s">
        <v>31</v>
      </c>
      <c r="H54" s="17">
        <v>179.8</v>
      </c>
    </row>
    <row r="55" spans="1:8" x14ac:dyDescent="0.3">
      <c r="A55" s="10">
        <v>1091117323215</v>
      </c>
      <c r="B55" s="10">
        <v>2001807084</v>
      </c>
      <c r="C55" s="17">
        <v>0.67</v>
      </c>
      <c r="D55" s="10">
        <v>121003</v>
      </c>
      <c r="E55" s="10">
        <v>742103</v>
      </c>
      <c r="F55" s="11" t="s">
        <v>23</v>
      </c>
      <c r="G55" s="11" t="s">
        <v>31</v>
      </c>
      <c r="H55" s="17">
        <v>90.2</v>
      </c>
    </row>
    <row r="56" spans="1:8" x14ac:dyDescent="0.3">
      <c r="A56" s="10">
        <v>1091117324394</v>
      </c>
      <c r="B56" s="10">
        <v>2001807362</v>
      </c>
      <c r="C56" s="17">
        <v>2</v>
      </c>
      <c r="D56" s="10">
        <v>121003</v>
      </c>
      <c r="E56" s="10">
        <v>452018</v>
      </c>
      <c r="F56" s="11" t="s">
        <v>23</v>
      </c>
      <c r="G56" s="11" t="s">
        <v>31</v>
      </c>
      <c r="H56" s="17">
        <v>179.8</v>
      </c>
    </row>
    <row r="57" spans="1:8" x14ac:dyDescent="0.3">
      <c r="A57" s="10">
        <v>1091117325094</v>
      </c>
      <c r="B57" s="10">
        <v>2001807415</v>
      </c>
      <c r="C57" s="17">
        <v>1</v>
      </c>
      <c r="D57" s="10">
        <v>121003</v>
      </c>
      <c r="E57" s="10">
        <v>208001</v>
      </c>
      <c r="F57" s="11" t="s">
        <v>24</v>
      </c>
      <c r="G57" s="11" t="s">
        <v>31</v>
      </c>
      <c r="H57" s="17">
        <v>61.3</v>
      </c>
    </row>
    <row r="58" spans="1:8" x14ac:dyDescent="0.3">
      <c r="A58" s="10">
        <v>1091117616121</v>
      </c>
      <c r="B58" s="10">
        <v>2001809592</v>
      </c>
      <c r="C58" s="17">
        <v>1.5</v>
      </c>
      <c r="D58" s="10">
        <v>121003</v>
      </c>
      <c r="E58" s="10">
        <v>244713</v>
      </c>
      <c r="F58" s="11" t="s">
        <v>24</v>
      </c>
      <c r="G58" s="11" t="s">
        <v>31</v>
      </c>
      <c r="H58" s="17">
        <v>89.6</v>
      </c>
    </row>
    <row r="59" spans="1:8" x14ac:dyDescent="0.3">
      <c r="A59" s="10">
        <v>1091117795531</v>
      </c>
      <c r="B59" s="10">
        <v>2001809794</v>
      </c>
      <c r="C59" s="17">
        <v>1.5</v>
      </c>
      <c r="D59" s="10">
        <v>121003</v>
      </c>
      <c r="E59" s="10">
        <v>580007</v>
      </c>
      <c r="F59" s="11" t="s">
        <v>23</v>
      </c>
      <c r="G59" s="11" t="s">
        <v>31</v>
      </c>
      <c r="H59" s="17">
        <v>135</v>
      </c>
    </row>
    <row r="60" spans="1:8" x14ac:dyDescent="0.3">
      <c r="A60" s="10">
        <v>1091117795623</v>
      </c>
      <c r="B60" s="10">
        <v>2001809820</v>
      </c>
      <c r="C60" s="17">
        <v>3</v>
      </c>
      <c r="D60" s="10">
        <v>121003</v>
      </c>
      <c r="E60" s="10">
        <v>360005</v>
      </c>
      <c r="F60" s="11" t="s">
        <v>23</v>
      </c>
      <c r="G60" s="11" t="s">
        <v>31</v>
      </c>
      <c r="H60" s="17">
        <v>269.39999999999998</v>
      </c>
    </row>
    <row r="61" spans="1:8" x14ac:dyDescent="0.3">
      <c r="A61" s="10">
        <v>1091117223351</v>
      </c>
      <c r="B61" s="10">
        <v>2001806471</v>
      </c>
      <c r="C61" s="17">
        <v>1.7</v>
      </c>
      <c r="D61" s="10">
        <v>121003</v>
      </c>
      <c r="E61" s="10">
        <v>313027</v>
      </c>
      <c r="F61" s="11" t="s">
        <v>23</v>
      </c>
      <c r="G61" s="11" t="s">
        <v>31</v>
      </c>
      <c r="H61" s="17">
        <v>179.8</v>
      </c>
    </row>
    <row r="62" spans="1:8" x14ac:dyDescent="0.3">
      <c r="A62" s="10">
        <v>1091117324011</v>
      </c>
      <c r="B62" s="10">
        <v>2001807241</v>
      </c>
      <c r="C62" s="17">
        <v>0.79</v>
      </c>
      <c r="D62" s="10">
        <v>121003</v>
      </c>
      <c r="E62" s="10">
        <v>341001</v>
      </c>
      <c r="F62" s="11" t="s">
        <v>23</v>
      </c>
      <c r="G62" s="11" t="s">
        <v>31</v>
      </c>
      <c r="H62" s="17">
        <v>90.2</v>
      </c>
    </row>
    <row r="63" spans="1:8" x14ac:dyDescent="0.3">
      <c r="A63" s="10">
        <v>1091117327570</v>
      </c>
      <c r="B63" s="10">
        <v>2001807981</v>
      </c>
      <c r="C63" s="17">
        <v>0.5</v>
      </c>
      <c r="D63" s="10">
        <v>121003</v>
      </c>
      <c r="E63" s="10">
        <v>332715</v>
      </c>
      <c r="F63" s="11" t="s">
        <v>23</v>
      </c>
      <c r="G63" s="11" t="s">
        <v>31</v>
      </c>
      <c r="H63" s="17">
        <v>45.4</v>
      </c>
    </row>
    <row r="64" spans="1:8" x14ac:dyDescent="0.3">
      <c r="A64" s="10">
        <v>1091117435602</v>
      </c>
      <c r="B64" s="10">
        <v>2001808286</v>
      </c>
      <c r="C64" s="17">
        <v>0.77</v>
      </c>
      <c r="D64" s="10">
        <v>121003</v>
      </c>
      <c r="E64" s="10">
        <v>302031</v>
      </c>
      <c r="F64" s="11" t="s">
        <v>23</v>
      </c>
      <c r="G64" s="11" t="s">
        <v>31</v>
      </c>
      <c r="H64" s="17">
        <v>90.2</v>
      </c>
    </row>
    <row r="65" spans="1:8" x14ac:dyDescent="0.3">
      <c r="A65" s="10">
        <v>1091117437680</v>
      </c>
      <c r="B65" s="10">
        <v>2001808801</v>
      </c>
      <c r="C65" s="17">
        <v>0.8</v>
      </c>
      <c r="D65" s="10">
        <v>121003</v>
      </c>
      <c r="E65" s="10">
        <v>335001</v>
      </c>
      <c r="F65" s="11" t="s">
        <v>23</v>
      </c>
      <c r="G65" s="11" t="s">
        <v>31</v>
      </c>
      <c r="H65" s="17">
        <v>90.2</v>
      </c>
    </row>
    <row r="66" spans="1:8" x14ac:dyDescent="0.3">
      <c r="A66" s="10">
        <v>1091117804200</v>
      </c>
      <c r="B66" s="10">
        <v>2001810104</v>
      </c>
      <c r="C66" s="17">
        <v>0.76</v>
      </c>
      <c r="D66" s="10">
        <v>121003</v>
      </c>
      <c r="E66" s="10">
        <v>334004</v>
      </c>
      <c r="F66" s="11" t="s">
        <v>23</v>
      </c>
      <c r="G66" s="11" t="s">
        <v>31</v>
      </c>
      <c r="H66" s="17">
        <v>90.2</v>
      </c>
    </row>
    <row r="67" spans="1:8" x14ac:dyDescent="0.3">
      <c r="A67" s="10">
        <v>1091117957533</v>
      </c>
      <c r="B67" s="10">
        <v>2001811153</v>
      </c>
      <c r="C67" s="17">
        <v>0.76</v>
      </c>
      <c r="D67" s="10">
        <v>121003</v>
      </c>
      <c r="E67" s="10">
        <v>321001</v>
      </c>
      <c r="F67" s="11" t="s">
        <v>23</v>
      </c>
      <c r="G67" s="11" t="s">
        <v>31</v>
      </c>
      <c r="H67" s="17">
        <v>90.2</v>
      </c>
    </row>
    <row r="68" spans="1:8" x14ac:dyDescent="0.3">
      <c r="A68" s="10">
        <v>1091117957942</v>
      </c>
      <c r="B68" s="10">
        <v>2001811229</v>
      </c>
      <c r="C68" s="17">
        <v>0.6</v>
      </c>
      <c r="D68" s="10">
        <v>121003</v>
      </c>
      <c r="E68" s="10">
        <v>324001</v>
      </c>
      <c r="F68" s="11" t="s">
        <v>23</v>
      </c>
      <c r="G68" s="11" t="s">
        <v>31</v>
      </c>
      <c r="H68" s="17">
        <v>90.2</v>
      </c>
    </row>
    <row r="69" spans="1:8" x14ac:dyDescent="0.3">
      <c r="A69" s="10">
        <v>1091117958395</v>
      </c>
      <c r="B69" s="10">
        <v>2001811363</v>
      </c>
      <c r="C69" s="17">
        <v>0.59</v>
      </c>
      <c r="D69" s="10">
        <v>121003</v>
      </c>
      <c r="E69" s="10">
        <v>321608</v>
      </c>
      <c r="F69" s="11" t="s">
        <v>23</v>
      </c>
      <c r="G69" s="11" t="s">
        <v>31</v>
      </c>
      <c r="H69" s="17">
        <v>90.2</v>
      </c>
    </row>
    <row r="70" spans="1:8" x14ac:dyDescent="0.3">
      <c r="A70" s="10">
        <v>1091118001865</v>
      </c>
      <c r="B70" s="10">
        <v>2001811466</v>
      </c>
      <c r="C70" s="17">
        <v>0.8</v>
      </c>
      <c r="D70" s="10">
        <v>121003</v>
      </c>
      <c r="E70" s="10">
        <v>302002</v>
      </c>
      <c r="F70" s="11" t="s">
        <v>23</v>
      </c>
      <c r="G70" s="11" t="s">
        <v>31</v>
      </c>
      <c r="H70" s="17">
        <v>90.2</v>
      </c>
    </row>
    <row r="71" spans="1:8" x14ac:dyDescent="0.3">
      <c r="A71" s="10">
        <v>1091118009786</v>
      </c>
      <c r="B71" s="10">
        <v>2001811809</v>
      </c>
      <c r="C71" s="17">
        <v>0.5</v>
      </c>
      <c r="D71" s="10">
        <v>121003</v>
      </c>
      <c r="E71" s="10">
        <v>311011</v>
      </c>
      <c r="F71" s="11" t="s">
        <v>23</v>
      </c>
      <c r="G71" s="11" t="s">
        <v>32</v>
      </c>
      <c r="H71" s="17">
        <v>86.7</v>
      </c>
    </row>
    <row r="72" spans="1:8" x14ac:dyDescent="0.3">
      <c r="A72" s="10">
        <v>1091118548333</v>
      </c>
      <c r="B72" s="10">
        <v>2001812854</v>
      </c>
      <c r="C72" s="17">
        <v>2.94</v>
      </c>
      <c r="D72" s="10">
        <v>121003</v>
      </c>
      <c r="E72" s="10">
        <v>306302</v>
      </c>
      <c r="F72" s="11" t="s">
        <v>23</v>
      </c>
      <c r="G72" s="11" t="s">
        <v>31</v>
      </c>
      <c r="H72" s="17">
        <v>269.39999999999998</v>
      </c>
    </row>
    <row r="73" spans="1:8" x14ac:dyDescent="0.3">
      <c r="A73" s="10">
        <v>1091118553701</v>
      </c>
      <c r="B73" s="10">
        <v>2001813009</v>
      </c>
      <c r="C73" s="17">
        <v>1</v>
      </c>
      <c r="D73" s="10">
        <v>121003</v>
      </c>
      <c r="E73" s="10">
        <v>313001</v>
      </c>
      <c r="F73" s="11" t="s">
        <v>23</v>
      </c>
      <c r="G73" s="11" t="s">
        <v>31</v>
      </c>
      <c r="H73" s="17">
        <v>90.2</v>
      </c>
    </row>
    <row r="74" spans="1:8" x14ac:dyDescent="0.3">
      <c r="A74" s="10">
        <v>1091118591534</v>
      </c>
      <c r="B74" s="10">
        <v>2001812650</v>
      </c>
      <c r="C74" s="17">
        <v>0.61</v>
      </c>
      <c r="D74" s="10">
        <v>121003</v>
      </c>
      <c r="E74" s="10">
        <v>302002</v>
      </c>
      <c r="F74" s="11" t="s">
        <v>23</v>
      </c>
      <c r="G74" s="11" t="s">
        <v>31</v>
      </c>
      <c r="H74" s="17">
        <v>90.2</v>
      </c>
    </row>
    <row r="75" spans="1:8" x14ac:dyDescent="0.3">
      <c r="A75" s="10">
        <v>1091118925110</v>
      </c>
      <c r="B75" s="10">
        <v>2001814580</v>
      </c>
      <c r="C75" s="17">
        <v>0.15</v>
      </c>
      <c r="D75" s="10">
        <v>121003</v>
      </c>
      <c r="E75" s="10">
        <v>322255</v>
      </c>
      <c r="F75" s="11" t="s">
        <v>23</v>
      </c>
      <c r="G75" s="11" t="s">
        <v>32</v>
      </c>
      <c r="H75" s="17">
        <v>86.7</v>
      </c>
    </row>
    <row r="76" spans="1:8" x14ac:dyDescent="0.3">
      <c r="A76" s="10">
        <v>1091119169701</v>
      </c>
      <c r="B76" s="10">
        <v>2001815688</v>
      </c>
      <c r="C76" s="17">
        <v>0.2</v>
      </c>
      <c r="D76" s="10">
        <v>121003</v>
      </c>
      <c r="E76" s="10">
        <v>302017</v>
      </c>
      <c r="F76" s="11" t="s">
        <v>23</v>
      </c>
      <c r="G76" s="11" t="s">
        <v>31</v>
      </c>
      <c r="H76" s="17">
        <v>45.4</v>
      </c>
    </row>
    <row r="77" spans="1:8" x14ac:dyDescent="0.3">
      <c r="A77" s="10">
        <v>1091119367193</v>
      </c>
      <c r="B77" s="10">
        <v>2001816131</v>
      </c>
      <c r="C77" s="17">
        <v>0.7</v>
      </c>
      <c r="D77" s="10">
        <v>121003</v>
      </c>
      <c r="E77" s="10">
        <v>302017</v>
      </c>
      <c r="F77" s="11" t="s">
        <v>23</v>
      </c>
      <c r="G77" s="11" t="s">
        <v>31</v>
      </c>
      <c r="H77" s="17">
        <v>90.2</v>
      </c>
    </row>
    <row r="78" spans="1:8" x14ac:dyDescent="0.3">
      <c r="A78" s="10">
        <v>1091119429202</v>
      </c>
      <c r="B78" s="10">
        <v>2001816996</v>
      </c>
      <c r="C78" s="17">
        <v>0.5</v>
      </c>
      <c r="D78" s="10">
        <v>121003</v>
      </c>
      <c r="E78" s="10">
        <v>335512</v>
      </c>
      <c r="F78" s="11" t="s">
        <v>23</v>
      </c>
      <c r="G78" s="11" t="s">
        <v>31</v>
      </c>
      <c r="H78" s="17">
        <v>45.4</v>
      </c>
    </row>
    <row r="79" spans="1:8" x14ac:dyDescent="0.3">
      <c r="A79" s="10">
        <v>1091120959225</v>
      </c>
      <c r="B79" s="10">
        <v>2001821185</v>
      </c>
      <c r="C79" s="17">
        <v>2.1</v>
      </c>
      <c r="D79" s="10">
        <v>121003</v>
      </c>
      <c r="E79" s="10">
        <v>313001</v>
      </c>
      <c r="F79" s="11" t="s">
        <v>23</v>
      </c>
      <c r="G79" s="11" t="s">
        <v>31</v>
      </c>
      <c r="H79" s="17">
        <v>224.6</v>
      </c>
    </row>
    <row r="80" spans="1:8" x14ac:dyDescent="0.3">
      <c r="A80" s="10">
        <v>1091120962515</v>
      </c>
      <c r="B80" s="10">
        <v>2001821284</v>
      </c>
      <c r="C80" s="17">
        <v>0.2</v>
      </c>
      <c r="D80" s="10">
        <v>121003</v>
      </c>
      <c r="E80" s="10">
        <v>313001</v>
      </c>
      <c r="F80" s="11" t="s">
        <v>23</v>
      </c>
      <c r="G80" s="11" t="s">
        <v>31</v>
      </c>
      <c r="H80" s="17">
        <v>45.4</v>
      </c>
    </row>
    <row r="81" spans="1:8" x14ac:dyDescent="0.3">
      <c r="A81" s="10">
        <v>1091121031745</v>
      </c>
      <c r="B81" s="10">
        <v>2001821679</v>
      </c>
      <c r="C81" s="17">
        <v>0.2</v>
      </c>
      <c r="D81" s="10">
        <v>121003</v>
      </c>
      <c r="E81" s="10">
        <v>307026</v>
      </c>
      <c r="F81" s="11" t="s">
        <v>23</v>
      </c>
      <c r="G81" s="11" t="s">
        <v>31</v>
      </c>
      <c r="H81" s="17">
        <v>45.4</v>
      </c>
    </row>
    <row r="82" spans="1:8" x14ac:dyDescent="0.3">
      <c r="A82" s="10">
        <v>1091121034114</v>
      </c>
      <c r="B82" s="10">
        <v>2001821742</v>
      </c>
      <c r="C82" s="17">
        <v>0.15</v>
      </c>
      <c r="D82" s="10">
        <v>121003</v>
      </c>
      <c r="E82" s="10">
        <v>327025</v>
      </c>
      <c r="F82" s="11" t="s">
        <v>23</v>
      </c>
      <c r="G82" s="11" t="s">
        <v>31</v>
      </c>
      <c r="H82" s="17">
        <v>45.4</v>
      </c>
    </row>
    <row r="83" spans="1:8" x14ac:dyDescent="0.3">
      <c r="A83" s="10">
        <v>1091121034350</v>
      </c>
      <c r="B83" s="10">
        <v>2001821750</v>
      </c>
      <c r="C83" s="17">
        <v>0.8</v>
      </c>
      <c r="D83" s="10">
        <v>121003</v>
      </c>
      <c r="E83" s="10">
        <v>313333</v>
      </c>
      <c r="F83" s="11" t="s">
        <v>23</v>
      </c>
      <c r="G83" s="11" t="s">
        <v>31</v>
      </c>
      <c r="H83" s="17">
        <v>90.2</v>
      </c>
    </row>
    <row r="84" spans="1:8" x14ac:dyDescent="0.3">
      <c r="A84" s="10">
        <v>1091121034641</v>
      </c>
      <c r="B84" s="10">
        <v>2001821766</v>
      </c>
      <c r="C84" s="17">
        <v>0.2</v>
      </c>
      <c r="D84" s="10">
        <v>121003</v>
      </c>
      <c r="E84" s="10">
        <v>313001</v>
      </c>
      <c r="F84" s="11" t="s">
        <v>23</v>
      </c>
      <c r="G84" s="11" t="s">
        <v>31</v>
      </c>
      <c r="H84" s="17">
        <v>45.4</v>
      </c>
    </row>
    <row r="85" spans="1:8" x14ac:dyDescent="0.3">
      <c r="A85" s="10">
        <v>1091121183730</v>
      </c>
      <c r="B85" s="10">
        <v>2001821995</v>
      </c>
      <c r="C85" s="17">
        <v>0.5</v>
      </c>
      <c r="D85" s="10">
        <v>121003</v>
      </c>
      <c r="E85" s="10">
        <v>342008</v>
      </c>
      <c r="F85" s="11" t="s">
        <v>23</v>
      </c>
      <c r="G85" s="11" t="s">
        <v>31</v>
      </c>
      <c r="H85" s="17">
        <v>45.4</v>
      </c>
    </row>
    <row r="86" spans="1:8" x14ac:dyDescent="0.3">
      <c r="A86" s="10">
        <v>1091121185863</v>
      </c>
      <c r="B86" s="10">
        <v>2001821502</v>
      </c>
      <c r="C86" s="17">
        <v>0.6</v>
      </c>
      <c r="D86" s="10">
        <v>121003</v>
      </c>
      <c r="E86" s="10">
        <v>314401</v>
      </c>
      <c r="F86" s="11" t="s">
        <v>23</v>
      </c>
      <c r="G86" s="11" t="s">
        <v>31</v>
      </c>
      <c r="H86" s="17">
        <v>90.2</v>
      </c>
    </row>
    <row r="87" spans="1:8" x14ac:dyDescent="0.3">
      <c r="A87" s="10">
        <v>1091121305541</v>
      </c>
      <c r="B87" s="10">
        <v>2001822466</v>
      </c>
      <c r="C87" s="17">
        <v>1.1000000000000001</v>
      </c>
      <c r="D87" s="10">
        <v>121003</v>
      </c>
      <c r="E87" s="10">
        <v>342301</v>
      </c>
      <c r="F87" s="11" t="s">
        <v>23</v>
      </c>
      <c r="G87" s="11" t="s">
        <v>31</v>
      </c>
      <c r="H87" s="17">
        <v>135</v>
      </c>
    </row>
    <row r="88" spans="1:8" x14ac:dyDescent="0.3">
      <c r="A88" s="10">
        <v>1091121306101</v>
      </c>
      <c r="B88" s="10">
        <v>2001820690</v>
      </c>
      <c r="C88" s="17">
        <v>0.15</v>
      </c>
      <c r="D88" s="10">
        <v>121003</v>
      </c>
      <c r="E88" s="10">
        <v>313003</v>
      </c>
      <c r="F88" s="11" t="s">
        <v>23</v>
      </c>
      <c r="G88" s="11" t="s">
        <v>31</v>
      </c>
      <c r="H88" s="17">
        <v>45.4</v>
      </c>
    </row>
    <row r="89" spans="1:8" x14ac:dyDescent="0.3">
      <c r="A89" s="10">
        <v>1091118004245</v>
      </c>
      <c r="B89" s="10">
        <v>2001811604</v>
      </c>
      <c r="C89" s="17">
        <v>0.8</v>
      </c>
      <c r="D89" s="10">
        <v>121003</v>
      </c>
      <c r="E89" s="10">
        <v>173212</v>
      </c>
      <c r="F89" s="11" t="s">
        <v>24</v>
      </c>
      <c r="G89" s="11" t="s">
        <v>31</v>
      </c>
      <c r="H89" s="17">
        <v>61.3</v>
      </c>
    </row>
    <row r="90" spans="1:8" x14ac:dyDescent="0.3">
      <c r="A90" s="10">
        <v>1091120352712</v>
      </c>
      <c r="B90" s="10">
        <v>2001819252</v>
      </c>
      <c r="C90" s="17">
        <v>0.3</v>
      </c>
      <c r="D90" s="10">
        <v>121003</v>
      </c>
      <c r="E90" s="10">
        <v>174101</v>
      </c>
      <c r="F90" s="11" t="s">
        <v>24</v>
      </c>
      <c r="G90" s="11" t="s">
        <v>31</v>
      </c>
      <c r="H90" s="17">
        <v>33</v>
      </c>
    </row>
    <row r="91" spans="1:8" x14ac:dyDescent="0.3">
      <c r="A91" s="10">
        <v>1091122418320</v>
      </c>
      <c r="B91" s="10">
        <v>2001827036</v>
      </c>
      <c r="C91" s="17">
        <v>1.6</v>
      </c>
      <c r="D91" s="10">
        <v>121003</v>
      </c>
      <c r="E91" s="10">
        <v>173213</v>
      </c>
      <c r="F91" s="11" t="s">
        <v>24</v>
      </c>
      <c r="G91" s="11" t="s">
        <v>31</v>
      </c>
      <c r="H91" s="17">
        <v>117.9</v>
      </c>
    </row>
    <row r="92" spans="1:8" x14ac:dyDescent="0.3">
      <c r="A92" s="10">
        <v>1091117222360</v>
      </c>
      <c r="B92" s="10">
        <v>2001806304</v>
      </c>
      <c r="C92" s="17">
        <v>0.71</v>
      </c>
      <c r="D92" s="10">
        <v>121003</v>
      </c>
      <c r="E92" s="10">
        <v>302017</v>
      </c>
      <c r="F92" s="11" t="s">
        <v>23</v>
      </c>
      <c r="G92" s="11" t="s">
        <v>31</v>
      </c>
      <c r="H92" s="17">
        <v>90.2</v>
      </c>
    </row>
    <row r="93" spans="1:8" x14ac:dyDescent="0.3">
      <c r="A93" s="10">
        <v>1091117227116</v>
      </c>
      <c r="B93" s="10">
        <v>2001806768</v>
      </c>
      <c r="C93" s="17">
        <v>1.02</v>
      </c>
      <c r="D93" s="10">
        <v>121003</v>
      </c>
      <c r="E93" s="10">
        <v>322201</v>
      </c>
      <c r="F93" s="11" t="s">
        <v>23</v>
      </c>
      <c r="G93" s="11" t="s">
        <v>31</v>
      </c>
      <c r="H93" s="17">
        <v>135</v>
      </c>
    </row>
    <row r="94" spans="1:8" x14ac:dyDescent="0.3">
      <c r="A94" s="10">
        <v>1091117228133</v>
      </c>
      <c r="B94" s="10">
        <v>2001806823</v>
      </c>
      <c r="C94" s="17">
        <v>0.59</v>
      </c>
      <c r="D94" s="10">
        <v>121003</v>
      </c>
      <c r="E94" s="10">
        <v>314001</v>
      </c>
      <c r="F94" s="11" t="s">
        <v>23</v>
      </c>
      <c r="G94" s="11" t="s">
        <v>31</v>
      </c>
      <c r="H94" s="17">
        <v>90.2</v>
      </c>
    </row>
    <row r="95" spans="1:8" x14ac:dyDescent="0.3">
      <c r="A95" s="10">
        <v>1091117228192</v>
      </c>
      <c r="B95" s="10">
        <v>2001806828</v>
      </c>
      <c r="C95" s="17">
        <v>0.69</v>
      </c>
      <c r="D95" s="10">
        <v>121003</v>
      </c>
      <c r="E95" s="10">
        <v>331022</v>
      </c>
      <c r="F95" s="11" t="s">
        <v>23</v>
      </c>
      <c r="G95" s="11" t="s">
        <v>31</v>
      </c>
      <c r="H95" s="17">
        <v>90.2</v>
      </c>
    </row>
    <row r="96" spans="1:8" x14ac:dyDescent="0.3">
      <c r="A96" s="10">
        <v>1091117229183</v>
      </c>
      <c r="B96" s="10">
        <v>2001806968</v>
      </c>
      <c r="C96" s="17">
        <v>0.68</v>
      </c>
      <c r="D96" s="10">
        <v>121003</v>
      </c>
      <c r="E96" s="10">
        <v>305801</v>
      </c>
      <c r="F96" s="11" t="s">
        <v>23</v>
      </c>
      <c r="G96" s="11" t="s">
        <v>31</v>
      </c>
      <c r="H96" s="17">
        <v>90.2</v>
      </c>
    </row>
    <row r="97" spans="1:8" x14ac:dyDescent="0.3">
      <c r="A97" s="10">
        <v>1091117324346</v>
      </c>
      <c r="B97" s="10">
        <v>2001807328</v>
      </c>
      <c r="C97" s="17">
        <v>2.2799999999999998</v>
      </c>
      <c r="D97" s="10">
        <v>121003</v>
      </c>
      <c r="E97" s="10">
        <v>335502</v>
      </c>
      <c r="F97" s="11" t="s">
        <v>23</v>
      </c>
      <c r="G97" s="11" t="s">
        <v>31</v>
      </c>
      <c r="H97" s="17">
        <v>224.6</v>
      </c>
    </row>
    <row r="98" spans="1:8" x14ac:dyDescent="0.3">
      <c r="A98" s="10">
        <v>1091117326424</v>
      </c>
      <c r="B98" s="10">
        <v>2001807785</v>
      </c>
      <c r="C98" s="17">
        <v>0.68</v>
      </c>
      <c r="D98" s="10">
        <v>121003</v>
      </c>
      <c r="E98" s="10">
        <v>306116</v>
      </c>
      <c r="F98" s="11" t="s">
        <v>23</v>
      </c>
      <c r="G98" s="11" t="s">
        <v>31</v>
      </c>
      <c r="H98" s="17">
        <v>90.2</v>
      </c>
    </row>
    <row r="99" spans="1:8" x14ac:dyDescent="0.3">
      <c r="A99" s="10">
        <v>1091117326925</v>
      </c>
      <c r="B99" s="10">
        <v>2001807852</v>
      </c>
      <c r="C99" s="17">
        <v>0.74</v>
      </c>
      <c r="D99" s="10">
        <v>121003</v>
      </c>
      <c r="E99" s="10">
        <v>311001</v>
      </c>
      <c r="F99" s="11" t="s">
        <v>23</v>
      </c>
      <c r="G99" s="11" t="s">
        <v>31</v>
      </c>
      <c r="H99" s="17">
        <v>90.2</v>
      </c>
    </row>
    <row r="100" spans="1:8" x14ac:dyDescent="0.3">
      <c r="A100" s="10">
        <v>1091117327474</v>
      </c>
      <c r="B100" s="10">
        <v>2001807970</v>
      </c>
      <c r="C100" s="17">
        <v>4.13</v>
      </c>
      <c r="D100" s="10">
        <v>121003</v>
      </c>
      <c r="E100" s="10">
        <v>302019</v>
      </c>
      <c r="F100" s="11" t="s">
        <v>23</v>
      </c>
      <c r="G100" s="11" t="s">
        <v>31</v>
      </c>
      <c r="H100" s="17">
        <v>403.8</v>
      </c>
    </row>
    <row r="101" spans="1:8" x14ac:dyDescent="0.3">
      <c r="A101" s="10">
        <v>1091117333100</v>
      </c>
      <c r="B101" s="10">
        <v>2001807329</v>
      </c>
      <c r="C101" s="17">
        <v>0.73</v>
      </c>
      <c r="D101" s="10">
        <v>121003</v>
      </c>
      <c r="E101" s="10">
        <v>302039</v>
      </c>
      <c r="F101" s="11" t="s">
        <v>23</v>
      </c>
      <c r="G101" s="11" t="s">
        <v>31</v>
      </c>
      <c r="H101" s="17">
        <v>90.2</v>
      </c>
    </row>
    <row r="102" spans="1:8" x14ac:dyDescent="0.3">
      <c r="A102" s="10">
        <v>1091117333251</v>
      </c>
      <c r="B102" s="10">
        <v>2001807613</v>
      </c>
      <c r="C102" s="17">
        <v>1.04</v>
      </c>
      <c r="D102" s="10">
        <v>121003</v>
      </c>
      <c r="E102" s="10">
        <v>335803</v>
      </c>
      <c r="F102" s="11" t="s">
        <v>23</v>
      </c>
      <c r="G102" s="11" t="s">
        <v>31</v>
      </c>
      <c r="H102" s="17">
        <v>135</v>
      </c>
    </row>
    <row r="103" spans="1:8" x14ac:dyDescent="0.3">
      <c r="A103" s="10">
        <v>1091117436346</v>
      </c>
      <c r="B103" s="10">
        <v>2001808475</v>
      </c>
      <c r="C103" s="17">
        <v>0.7</v>
      </c>
      <c r="D103" s="10">
        <v>121003</v>
      </c>
      <c r="E103" s="10">
        <v>335001</v>
      </c>
      <c r="F103" s="11" t="s">
        <v>23</v>
      </c>
      <c r="G103" s="11" t="s">
        <v>31</v>
      </c>
      <c r="H103" s="17">
        <v>90.2</v>
      </c>
    </row>
    <row r="104" spans="1:8" x14ac:dyDescent="0.3">
      <c r="A104" s="10">
        <v>1091117436652</v>
      </c>
      <c r="B104" s="10">
        <v>2001808585</v>
      </c>
      <c r="C104" s="17">
        <v>0.72</v>
      </c>
      <c r="D104" s="10">
        <v>121003</v>
      </c>
      <c r="E104" s="10">
        <v>175101</v>
      </c>
      <c r="F104" s="11" t="s">
        <v>24</v>
      </c>
      <c r="G104" s="11" t="s">
        <v>31</v>
      </c>
      <c r="H104" s="17">
        <v>61.3</v>
      </c>
    </row>
    <row r="105" spans="1:8" x14ac:dyDescent="0.3">
      <c r="A105" s="10">
        <v>1091117437035</v>
      </c>
      <c r="B105" s="10">
        <v>2001808679</v>
      </c>
      <c r="C105" s="17">
        <v>0.72</v>
      </c>
      <c r="D105" s="10">
        <v>121003</v>
      </c>
      <c r="E105" s="10">
        <v>303903</v>
      </c>
      <c r="F105" s="11" t="s">
        <v>23</v>
      </c>
      <c r="G105" s="11" t="s">
        <v>31</v>
      </c>
      <c r="H105" s="17">
        <v>90.2</v>
      </c>
    </row>
    <row r="106" spans="1:8" x14ac:dyDescent="0.3">
      <c r="A106" s="10">
        <v>1091117437293</v>
      </c>
      <c r="B106" s="10">
        <v>2001808739</v>
      </c>
      <c r="C106" s="17">
        <v>1.63</v>
      </c>
      <c r="D106" s="10">
        <v>121003</v>
      </c>
      <c r="E106" s="10">
        <v>342012</v>
      </c>
      <c r="F106" s="11" t="s">
        <v>23</v>
      </c>
      <c r="G106" s="11" t="s">
        <v>31</v>
      </c>
      <c r="H106" s="17">
        <v>179.8</v>
      </c>
    </row>
    <row r="107" spans="1:8" x14ac:dyDescent="0.3">
      <c r="A107" s="10">
        <v>1091117437864</v>
      </c>
      <c r="B107" s="10">
        <v>2001808832</v>
      </c>
      <c r="C107" s="17">
        <v>2.4700000000000002</v>
      </c>
      <c r="D107" s="10">
        <v>121003</v>
      </c>
      <c r="E107" s="10">
        <v>334001</v>
      </c>
      <c r="F107" s="11" t="s">
        <v>23</v>
      </c>
      <c r="G107" s="11" t="s">
        <v>31</v>
      </c>
      <c r="H107" s="17">
        <v>224.6</v>
      </c>
    </row>
    <row r="108" spans="1:8" x14ac:dyDescent="0.3">
      <c r="A108" s="10">
        <v>1091117437890</v>
      </c>
      <c r="B108" s="10">
        <v>2001808837</v>
      </c>
      <c r="C108" s="17">
        <v>0.67</v>
      </c>
      <c r="D108" s="10">
        <v>121003</v>
      </c>
      <c r="E108" s="10">
        <v>302031</v>
      </c>
      <c r="F108" s="11" t="s">
        <v>23</v>
      </c>
      <c r="G108" s="11" t="s">
        <v>31</v>
      </c>
      <c r="H108" s="17">
        <v>90.2</v>
      </c>
    </row>
    <row r="109" spans="1:8" x14ac:dyDescent="0.3">
      <c r="A109" s="10">
        <v>1091117438074</v>
      </c>
      <c r="B109" s="10">
        <v>2001808883</v>
      </c>
      <c r="C109" s="17">
        <v>0.72</v>
      </c>
      <c r="D109" s="10">
        <v>121003</v>
      </c>
      <c r="E109" s="10">
        <v>302012</v>
      </c>
      <c r="F109" s="11" t="s">
        <v>23</v>
      </c>
      <c r="G109" s="11" t="s">
        <v>31</v>
      </c>
      <c r="H109" s="17">
        <v>90.2</v>
      </c>
    </row>
    <row r="110" spans="1:8" x14ac:dyDescent="0.3">
      <c r="A110" s="10">
        <v>1091117611501</v>
      </c>
      <c r="B110" s="10">
        <v>2001808992</v>
      </c>
      <c r="C110" s="17">
        <v>0.72</v>
      </c>
      <c r="D110" s="10">
        <v>121003</v>
      </c>
      <c r="E110" s="10">
        <v>342014</v>
      </c>
      <c r="F110" s="11" t="s">
        <v>23</v>
      </c>
      <c r="G110" s="11" t="s">
        <v>31</v>
      </c>
      <c r="H110" s="17">
        <v>90.2</v>
      </c>
    </row>
    <row r="111" spans="1:8" x14ac:dyDescent="0.3">
      <c r="A111" s="10">
        <v>1091117613962</v>
      </c>
      <c r="B111" s="10">
        <v>2001809270</v>
      </c>
      <c r="C111" s="17">
        <v>0.68</v>
      </c>
      <c r="D111" s="10">
        <v>121003</v>
      </c>
      <c r="E111" s="10">
        <v>324005</v>
      </c>
      <c r="F111" s="11" t="s">
        <v>23</v>
      </c>
      <c r="G111" s="11" t="s">
        <v>31</v>
      </c>
      <c r="H111" s="17">
        <v>90.2</v>
      </c>
    </row>
    <row r="112" spans="1:8" x14ac:dyDescent="0.3">
      <c r="A112" s="10">
        <v>1091117803511</v>
      </c>
      <c r="B112" s="10">
        <v>2001809934</v>
      </c>
      <c r="C112" s="17">
        <v>0.82</v>
      </c>
      <c r="D112" s="10">
        <v>121003</v>
      </c>
      <c r="E112" s="10">
        <v>302001</v>
      </c>
      <c r="F112" s="11" t="s">
        <v>23</v>
      </c>
      <c r="G112" s="11" t="s">
        <v>31</v>
      </c>
      <c r="H112" s="17">
        <v>90.2</v>
      </c>
    </row>
    <row r="113" spans="1:8" x14ac:dyDescent="0.3">
      <c r="A113" s="10">
        <v>1091117804314</v>
      </c>
      <c r="B113" s="10">
        <v>2001810125</v>
      </c>
      <c r="C113" s="17">
        <v>0.66</v>
      </c>
      <c r="D113" s="10">
        <v>121003</v>
      </c>
      <c r="E113" s="10">
        <v>302004</v>
      </c>
      <c r="F113" s="11" t="s">
        <v>23</v>
      </c>
      <c r="G113" s="11" t="s">
        <v>31</v>
      </c>
      <c r="H113" s="17">
        <v>90.2</v>
      </c>
    </row>
    <row r="114" spans="1:8" x14ac:dyDescent="0.3">
      <c r="A114" s="10">
        <v>1091117805390</v>
      </c>
      <c r="B114" s="10">
        <v>2001810281</v>
      </c>
      <c r="C114" s="17">
        <v>0.68</v>
      </c>
      <c r="D114" s="10">
        <v>121003</v>
      </c>
      <c r="E114" s="10">
        <v>302018</v>
      </c>
      <c r="F114" s="11" t="s">
        <v>23</v>
      </c>
      <c r="G114" s="11" t="s">
        <v>31</v>
      </c>
      <c r="H114" s="17">
        <v>90.2</v>
      </c>
    </row>
    <row r="115" spans="1:8" x14ac:dyDescent="0.3">
      <c r="A115" s="10">
        <v>1091117806263</v>
      </c>
      <c r="B115" s="10">
        <v>2001810549</v>
      </c>
      <c r="C115" s="17">
        <v>1.86</v>
      </c>
      <c r="D115" s="10">
        <v>121003</v>
      </c>
      <c r="E115" s="10">
        <v>302017</v>
      </c>
      <c r="F115" s="11" t="s">
        <v>23</v>
      </c>
      <c r="G115" s="11" t="s">
        <v>31</v>
      </c>
      <c r="H115" s="17">
        <v>179.8</v>
      </c>
    </row>
    <row r="116" spans="1:8" x14ac:dyDescent="0.3">
      <c r="A116" s="10">
        <v>1091117807140</v>
      </c>
      <c r="B116" s="10">
        <v>2001810697</v>
      </c>
      <c r="C116" s="17">
        <v>2.27</v>
      </c>
      <c r="D116" s="10">
        <v>121003</v>
      </c>
      <c r="E116" s="10">
        <v>324008</v>
      </c>
      <c r="F116" s="11" t="s">
        <v>23</v>
      </c>
      <c r="G116" s="11" t="s">
        <v>31</v>
      </c>
      <c r="H116" s="17">
        <v>224.6</v>
      </c>
    </row>
    <row r="117" spans="1:8" x14ac:dyDescent="0.3">
      <c r="A117" s="10">
        <v>1091117904860</v>
      </c>
      <c r="B117" s="10">
        <v>2001811039</v>
      </c>
      <c r="C117" s="17">
        <v>0.68</v>
      </c>
      <c r="D117" s="10">
        <v>121003</v>
      </c>
      <c r="E117" s="10">
        <v>302020</v>
      </c>
      <c r="F117" s="11" t="s">
        <v>23</v>
      </c>
      <c r="G117" s="11" t="s">
        <v>31</v>
      </c>
      <c r="H117" s="17">
        <v>90.2</v>
      </c>
    </row>
    <row r="118" spans="1:8" x14ac:dyDescent="0.3">
      <c r="A118" s="10">
        <v>1091117905022</v>
      </c>
      <c r="B118" s="10">
        <v>2001811058</v>
      </c>
      <c r="C118" s="17">
        <v>0.72</v>
      </c>
      <c r="D118" s="10">
        <v>121003</v>
      </c>
      <c r="E118" s="10">
        <v>302018</v>
      </c>
      <c r="F118" s="11" t="s">
        <v>23</v>
      </c>
      <c r="G118" s="11" t="s">
        <v>31</v>
      </c>
      <c r="H118" s="17">
        <v>90.2</v>
      </c>
    </row>
    <row r="119" spans="1:8" x14ac:dyDescent="0.3">
      <c r="A119" s="10">
        <v>1091117958163</v>
      </c>
      <c r="B119" s="10">
        <v>2001811306</v>
      </c>
      <c r="C119" s="17">
        <v>1.1000000000000001</v>
      </c>
      <c r="D119" s="10">
        <v>121003</v>
      </c>
      <c r="E119" s="10">
        <v>302017</v>
      </c>
      <c r="F119" s="11" t="s">
        <v>23</v>
      </c>
      <c r="G119" s="11" t="s">
        <v>31</v>
      </c>
      <c r="H119" s="17">
        <v>135</v>
      </c>
    </row>
    <row r="120" spans="1:8" x14ac:dyDescent="0.3">
      <c r="A120" s="10">
        <v>1091118442390</v>
      </c>
      <c r="B120" s="10">
        <v>2001812195</v>
      </c>
      <c r="C120" s="17">
        <v>0.67</v>
      </c>
      <c r="D120" s="10">
        <v>121003</v>
      </c>
      <c r="E120" s="10">
        <v>302012</v>
      </c>
      <c r="F120" s="11" t="s">
        <v>23</v>
      </c>
      <c r="G120" s="11" t="s">
        <v>31</v>
      </c>
      <c r="H120" s="17">
        <v>90.2</v>
      </c>
    </row>
    <row r="121" spans="1:8" x14ac:dyDescent="0.3">
      <c r="A121" s="10">
        <v>1091118551656</v>
      </c>
      <c r="B121" s="10">
        <v>2001812941</v>
      </c>
      <c r="C121" s="17">
        <v>0.73</v>
      </c>
      <c r="D121" s="10">
        <v>121003</v>
      </c>
      <c r="E121" s="10">
        <v>325207</v>
      </c>
      <c r="F121" s="11" t="s">
        <v>23</v>
      </c>
      <c r="G121" s="11" t="s">
        <v>31</v>
      </c>
      <c r="H121" s="17">
        <v>90.2</v>
      </c>
    </row>
    <row r="122" spans="1:8" x14ac:dyDescent="0.3">
      <c r="A122" s="10">
        <v>1091117614452</v>
      </c>
      <c r="B122" s="10">
        <v>2001809383</v>
      </c>
      <c r="C122" s="17">
        <v>0.5</v>
      </c>
      <c r="D122" s="10">
        <v>121003</v>
      </c>
      <c r="E122" s="10">
        <v>303702</v>
      </c>
      <c r="F122" s="11" t="s">
        <v>23</v>
      </c>
      <c r="G122" s="11" t="s">
        <v>32</v>
      </c>
      <c r="H122" s="17">
        <v>86.7</v>
      </c>
    </row>
    <row r="123" spans="1:8" x14ac:dyDescent="0.3">
      <c r="A123" s="10">
        <v>1091120922803</v>
      </c>
      <c r="B123" s="10">
        <v>2001820978</v>
      </c>
      <c r="C123" s="17">
        <v>0.5</v>
      </c>
      <c r="D123" s="10">
        <v>121003</v>
      </c>
      <c r="E123" s="10">
        <v>313301</v>
      </c>
      <c r="F123" s="11" t="s">
        <v>23</v>
      </c>
      <c r="G123" s="11" t="s">
        <v>31</v>
      </c>
      <c r="H123" s="17">
        <v>45.4</v>
      </c>
    </row>
    <row r="124" spans="1:8" x14ac:dyDescent="0.3">
      <c r="A124" s="10">
        <v>1091121844806</v>
      </c>
      <c r="B124" s="10">
        <v>2001811475</v>
      </c>
      <c r="C124" s="17">
        <v>0.5</v>
      </c>
      <c r="D124" s="10">
        <v>121003</v>
      </c>
      <c r="E124" s="10">
        <v>173212</v>
      </c>
      <c r="F124" s="11" t="s">
        <v>24</v>
      </c>
      <c r="G124" s="11" t="s">
        <v>31</v>
      </c>
      <c r="H124" s="17">
        <v>33</v>
      </c>
    </row>
    <row r="125" spans="1:8" x14ac:dyDescent="0.3">
      <c r="A125" s="10">
        <v>1091121846136</v>
      </c>
      <c r="B125" s="10">
        <v>2001811305</v>
      </c>
      <c r="C125" s="17">
        <v>0.5</v>
      </c>
      <c r="D125" s="10">
        <v>121003</v>
      </c>
      <c r="E125" s="10">
        <v>302020</v>
      </c>
      <c r="F125" s="11" t="s">
        <v>23</v>
      </c>
      <c r="G125" s="11" t="s">
        <v>31</v>
      </c>
      <c r="H125" s="17">
        <v>45.4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308D-0050-481B-91D7-2C188B114A5D}">
  <dimension ref="A1:B67"/>
  <sheetViews>
    <sheetView workbookViewId="0">
      <selection activeCell="D4" sqref="D4"/>
    </sheetView>
  </sheetViews>
  <sheetFormatPr defaultRowHeight="14.4" x14ac:dyDescent="0.3"/>
  <cols>
    <col min="1" max="1" width="25.44140625" customWidth="1"/>
    <col min="2" max="2" width="10.33203125" bestFit="1" customWidth="1"/>
  </cols>
  <sheetData>
    <row r="1" spans="1:2" x14ac:dyDescent="0.3">
      <c r="A1" s="2" t="s">
        <v>33</v>
      </c>
      <c r="B1" s="2" t="s">
        <v>34</v>
      </c>
    </row>
    <row r="2" spans="1:2" x14ac:dyDescent="0.3">
      <c r="A2" s="7">
        <v>8904223815682</v>
      </c>
      <c r="B2" s="6">
        <v>210</v>
      </c>
    </row>
    <row r="3" spans="1:2" x14ac:dyDescent="0.3">
      <c r="A3" s="7">
        <v>8904223815859</v>
      </c>
      <c r="B3" s="6">
        <v>165</v>
      </c>
    </row>
    <row r="4" spans="1:2" x14ac:dyDescent="0.3">
      <c r="A4" s="7">
        <v>8904223815866</v>
      </c>
      <c r="B4" s="6">
        <v>113</v>
      </c>
    </row>
    <row r="5" spans="1:2" x14ac:dyDescent="0.3">
      <c r="A5" s="7">
        <v>8904223815873</v>
      </c>
      <c r="B5" s="6">
        <v>65</v>
      </c>
    </row>
    <row r="6" spans="1:2" x14ac:dyDescent="0.3">
      <c r="A6" s="7">
        <v>8904223816214</v>
      </c>
      <c r="B6" s="6">
        <v>120</v>
      </c>
    </row>
    <row r="7" spans="1:2" x14ac:dyDescent="0.3">
      <c r="A7" s="7">
        <v>8904223816665</v>
      </c>
      <c r="B7" s="6">
        <v>102</v>
      </c>
    </row>
    <row r="8" spans="1:2" x14ac:dyDescent="0.3">
      <c r="A8" s="7">
        <v>8904223817273</v>
      </c>
      <c r="B8" s="6">
        <v>65</v>
      </c>
    </row>
    <row r="9" spans="1:2" x14ac:dyDescent="0.3">
      <c r="A9" s="7">
        <v>8904223817334</v>
      </c>
      <c r="B9" s="6">
        <v>170</v>
      </c>
    </row>
    <row r="10" spans="1:2" x14ac:dyDescent="0.3">
      <c r="A10" s="7">
        <v>8904223817501</v>
      </c>
      <c r="B10" s="6">
        <v>350</v>
      </c>
    </row>
    <row r="11" spans="1:2" x14ac:dyDescent="0.3">
      <c r="A11" s="7">
        <v>8904223818430</v>
      </c>
      <c r="B11" s="6">
        <v>165</v>
      </c>
    </row>
    <row r="12" spans="1:2" x14ac:dyDescent="0.3">
      <c r="A12" s="7">
        <v>8904223818478</v>
      </c>
      <c r="B12" s="6">
        <v>350</v>
      </c>
    </row>
    <row r="13" spans="1:2" x14ac:dyDescent="0.3">
      <c r="A13" s="7">
        <v>8904223818553</v>
      </c>
      <c r="B13" s="6">
        <v>115</v>
      </c>
    </row>
    <row r="14" spans="1:2" x14ac:dyDescent="0.3">
      <c r="A14" s="7">
        <v>8904223818577</v>
      </c>
      <c r="B14" s="6">
        <v>150</v>
      </c>
    </row>
    <row r="15" spans="1:2" x14ac:dyDescent="0.3">
      <c r="A15" s="7">
        <v>8904223818591</v>
      </c>
      <c r="B15" s="6">
        <v>120</v>
      </c>
    </row>
    <row r="16" spans="1:2" x14ac:dyDescent="0.3">
      <c r="A16" s="7">
        <v>8904223818614</v>
      </c>
      <c r="B16" s="6">
        <v>65</v>
      </c>
    </row>
    <row r="17" spans="1:2" x14ac:dyDescent="0.3">
      <c r="A17" s="7">
        <v>8904223818638</v>
      </c>
      <c r="B17" s="6">
        <v>137</v>
      </c>
    </row>
    <row r="18" spans="1:2" x14ac:dyDescent="0.3">
      <c r="A18" s="7">
        <v>8904223818645</v>
      </c>
      <c r="B18" s="6">
        <v>137</v>
      </c>
    </row>
    <row r="19" spans="1:2" x14ac:dyDescent="0.3">
      <c r="A19" s="7">
        <v>8904223818669</v>
      </c>
      <c r="B19" s="6">
        <v>240</v>
      </c>
    </row>
    <row r="20" spans="1:2" x14ac:dyDescent="0.3">
      <c r="A20" s="7">
        <v>8904223818683</v>
      </c>
      <c r="B20" s="6">
        <v>121</v>
      </c>
    </row>
    <row r="21" spans="1:2" x14ac:dyDescent="0.3">
      <c r="A21" s="7">
        <v>8904223818706</v>
      </c>
      <c r="B21" s="6">
        <v>127</v>
      </c>
    </row>
    <row r="22" spans="1:2" x14ac:dyDescent="0.3">
      <c r="A22" s="7">
        <v>8904223818713</v>
      </c>
      <c r="B22" s="6">
        <v>120</v>
      </c>
    </row>
    <row r="23" spans="1:2" x14ac:dyDescent="0.3">
      <c r="A23" s="7">
        <v>8904223815804</v>
      </c>
      <c r="B23" s="6">
        <v>160</v>
      </c>
    </row>
    <row r="24" spans="1:2" x14ac:dyDescent="0.3">
      <c r="A24" s="7">
        <v>8904223818454</v>
      </c>
      <c r="B24" s="6">
        <v>232</v>
      </c>
    </row>
    <row r="25" spans="1:2" x14ac:dyDescent="0.3">
      <c r="A25" s="7">
        <v>8904223818751</v>
      </c>
      <c r="B25" s="6">
        <v>113</v>
      </c>
    </row>
    <row r="26" spans="1:2" x14ac:dyDescent="0.3">
      <c r="A26" s="7">
        <v>8904223818850</v>
      </c>
      <c r="B26" s="6">
        <v>240</v>
      </c>
    </row>
    <row r="27" spans="1:2" x14ac:dyDescent="0.3">
      <c r="A27" s="7">
        <v>8904223818935</v>
      </c>
      <c r="B27" s="6">
        <v>120</v>
      </c>
    </row>
    <row r="28" spans="1:2" x14ac:dyDescent="0.3">
      <c r="A28" s="7">
        <v>8904223818874</v>
      </c>
      <c r="B28" s="6">
        <v>100</v>
      </c>
    </row>
    <row r="29" spans="1:2" x14ac:dyDescent="0.3">
      <c r="A29" s="7">
        <v>8904223818997</v>
      </c>
      <c r="B29" s="6">
        <v>490</v>
      </c>
    </row>
    <row r="30" spans="1:2" x14ac:dyDescent="0.3">
      <c r="A30" s="7">
        <v>8904223818942</v>
      </c>
      <c r="B30" s="6">
        <v>133</v>
      </c>
    </row>
    <row r="31" spans="1:2" x14ac:dyDescent="0.3">
      <c r="A31" s="7">
        <v>8904223819024</v>
      </c>
      <c r="B31" s="6">
        <v>112</v>
      </c>
    </row>
    <row r="32" spans="1:2" x14ac:dyDescent="0.3">
      <c r="A32" s="7">
        <v>8904223819031</v>
      </c>
      <c r="B32" s="6">
        <v>112</v>
      </c>
    </row>
    <row r="33" spans="1:2" x14ac:dyDescent="0.3">
      <c r="A33" s="7">
        <v>8904223818980</v>
      </c>
      <c r="B33" s="6">
        <v>110</v>
      </c>
    </row>
    <row r="34" spans="1:2" x14ac:dyDescent="0.3">
      <c r="A34" s="7">
        <v>8904223819017</v>
      </c>
      <c r="B34" s="6">
        <v>115</v>
      </c>
    </row>
    <row r="35" spans="1:2" x14ac:dyDescent="0.3">
      <c r="A35" s="7">
        <v>8904223819093</v>
      </c>
      <c r="B35" s="6">
        <v>150</v>
      </c>
    </row>
    <row r="36" spans="1:2" x14ac:dyDescent="0.3">
      <c r="A36" s="7">
        <v>8904223819109</v>
      </c>
      <c r="B36" s="6">
        <v>100</v>
      </c>
    </row>
    <row r="37" spans="1:2" x14ac:dyDescent="0.3">
      <c r="A37" s="7">
        <v>8904223819116</v>
      </c>
      <c r="B37" s="6">
        <v>30</v>
      </c>
    </row>
    <row r="38" spans="1:2" x14ac:dyDescent="0.3">
      <c r="A38" s="7">
        <v>8904223819161</v>
      </c>
      <c r="B38" s="6">
        <v>115</v>
      </c>
    </row>
    <row r="39" spans="1:2" x14ac:dyDescent="0.3">
      <c r="A39" s="7">
        <v>8904223819147</v>
      </c>
      <c r="B39" s="6">
        <v>240</v>
      </c>
    </row>
    <row r="40" spans="1:2" x14ac:dyDescent="0.3">
      <c r="A40" s="7">
        <v>8904223819130</v>
      </c>
      <c r="B40" s="6">
        <v>350</v>
      </c>
    </row>
    <row r="41" spans="1:2" x14ac:dyDescent="0.3">
      <c r="A41" s="7">
        <v>8904223818881</v>
      </c>
      <c r="B41" s="6">
        <v>140</v>
      </c>
    </row>
    <row r="42" spans="1:2" x14ac:dyDescent="0.3">
      <c r="A42" s="7">
        <v>8904223818898</v>
      </c>
      <c r="B42" s="6">
        <v>140</v>
      </c>
    </row>
    <row r="43" spans="1:2" x14ac:dyDescent="0.3">
      <c r="A43" s="7">
        <v>8904223819277</v>
      </c>
      <c r="B43" s="6">
        <v>350</v>
      </c>
    </row>
    <row r="44" spans="1:2" x14ac:dyDescent="0.3">
      <c r="A44" s="7">
        <v>8904223819284</v>
      </c>
      <c r="B44" s="6">
        <v>350</v>
      </c>
    </row>
    <row r="45" spans="1:2" x14ac:dyDescent="0.3">
      <c r="A45" s="7">
        <v>8904223819345</v>
      </c>
      <c r="B45" s="6">
        <v>165</v>
      </c>
    </row>
    <row r="46" spans="1:2" x14ac:dyDescent="0.3">
      <c r="A46" s="7">
        <v>8904223819352</v>
      </c>
      <c r="B46" s="6">
        <v>165</v>
      </c>
    </row>
    <row r="47" spans="1:2" x14ac:dyDescent="0.3">
      <c r="A47" s="7">
        <v>8904223819239</v>
      </c>
      <c r="B47" s="6">
        <v>290</v>
      </c>
    </row>
    <row r="48" spans="1:2" x14ac:dyDescent="0.3">
      <c r="A48" s="7">
        <v>8904223819246</v>
      </c>
      <c r="B48" s="6">
        <v>290</v>
      </c>
    </row>
    <row r="49" spans="1:2" x14ac:dyDescent="0.3">
      <c r="A49" s="7">
        <v>8904223819253</v>
      </c>
      <c r="B49" s="6">
        <v>290</v>
      </c>
    </row>
    <row r="50" spans="1:2" x14ac:dyDescent="0.3">
      <c r="A50" s="7">
        <v>8904223819291</v>
      </c>
      <c r="B50" s="6">
        <v>112</v>
      </c>
    </row>
    <row r="51" spans="1:2" x14ac:dyDescent="0.3">
      <c r="A51" s="7">
        <v>8904223819437</v>
      </c>
      <c r="B51" s="6">
        <v>552</v>
      </c>
    </row>
    <row r="52" spans="1:2" x14ac:dyDescent="0.3">
      <c r="A52" s="7" t="s">
        <v>35</v>
      </c>
      <c r="B52" s="6">
        <v>500</v>
      </c>
    </row>
    <row r="53" spans="1:2" x14ac:dyDescent="0.3">
      <c r="A53" s="7" t="s">
        <v>36</v>
      </c>
      <c r="B53" s="6">
        <v>500</v>
      </c>
    </row>
    <row r="54" spans="1:2" x14ac:dyDescent="0.3">
      <c r="A54" s="7" t="s">
        <v>37</v>
      </c>
      <c r="B54" s="6">
        <v>500</v>
      </c>
    </row>
    <row r="55" spans="1:2" x14ac:dyDescent="0.3">
      <c r="A55" s="7">
        <v>8904223819369</v>
      </c>
      <c r="B55" s="6">
        <v>170</v>
      </c>
    </row>
    <row r="56" spans="1:2" x14ac:dyDescent="0.3">
      <c r="A56" s="7" t="s">
        <v>38</v>
      </c>
      <c r="B56" s="6">
        <v>500</v>
      </c>
    </row>
    <row r="57" spans="1:2" x14ac:dyDescent="0.3">
      <c r="A57" s="7">
        <v>8904223819123</v>
      </c>
      <c r="B57" s="6">
        <v>250</v>
      </c>
    </row>
    <row r="58" spans="1:2" x14ac:dyDescent="0.3">
      <c r="A58" s="7" t="s">
        <v>37</v>
      </c>
      <c r="B58" s="6">
        <v>500</v>
      </c>
    </row>
    <row r="59" spans="1:2" x14ac:dyDescent="0.3">
      <c r="A59" s="7">
        <v>8904223819468</v>
      </c>
      <c r="B59" s="6">
        <v>240</v>
      </c>
    </row>
    <row r="60" spans="1:2" x14ac:dyDescent="0.3">
      <c r="A60" s="7">
        <v>8904223819260</v>
      </c>
      <c r="B60" s="6">
        <v>130</v>
      </c>
    </row>
    <row r="61" spans="1:2" x14ac:dyDescent="0.3">
      <c r="A61" s="7">
        <v>8904223819321</v>
      </c>
      <c r="B61" s="6">
        <v>600</v>
      </c>
    </row>
    <row r="62" spans="1:2" x14ac:dyDescent="0.3">
      <c r="A62" s="7">
        <v>8904223819338</v>
      </c>
      <c r="B62" s="6">
        <v>600</v>
      </c>
    </row>
    <row r="63" spans="1:2" x14ac:dyDescent="0.3">
      <c r="A63" s="7">
        <v>8904223819505</v>
      </c>
      <c r="B63" s="6">
        <v>210</v>
      </c>
    </row>
    <row r="64" spans="1:2" x14ac:dyDescent="0.3">
      <c r="A64" s="7">
        <v>8904223819499</v>
      </c>
      <c r="B64" s="6">
        <v>210</v>
      </c>
    </row>
    <row r="65" spans="1:2" x14ac:dyDescent="0.3">
      <c r="A65" s="7">
        <v>8904223819512</v>
      </c>
      <c r="B65" s="6">
        <v>210</v>
      </c>
    </row>
    <row r="66" spans="1:2" x14ac:dyDescent="0.3">
      <c r="A66" s="7">
        <v>8904223819543</v>
      </c>
      <c r="B66" s="6">
        <v>300</v>
      </c>
    </row>
    <row r="67" spans="1:2" x14ac:dyDescent="0.3">
      <c r="A67" s="7" t="s">
        <v>39</v>
      </c>
      <c r="B67" s="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F7" sqref="F7"/>
    </sheetView>
  </sheetViews>
  <sheetFormatPr defaultRowHeight="14.4" x14ac:dyDescent="0.3"/>
  <cols>
    <col min="1" max="1" width="12" bestFit="1" customWidth="1"/>
    <col min="2" max="2" width="16.5546875" bestFit="1" customWidth="1"/>
    <col min="3" max="3" width="14.21875" customWidth="1"/>
    <col min="4" max="4" width="16.6640625" bestFit="1" customWidth="1"/>
    <col min="5" max="5" width="11.88671875" bestFit="1" customWidth="1"/>
    <col min="6" max="6" width="16.44140625" bestFit="1" customWidth="1"/>
    <col min="7" max="7" width="15.5546875" customWidth="1"/>
    <col min="8" max="8" width="16.6640625" bestFit="1" customWidth="1"/>
    <col min="9" max="9" width="14.88671875" customWidth="1"/>
    <col min="10" max="10" width="16.6640625" bestFit="1" customWidth="1"/>
    <col min="11" max="11" width="13.21875" customWidth="1"/>
    <col min="12" max="12" width="15.6640625" bestFit="1" customWidth="1"/>
    <col min="13" max="13" width="11.33203125" bestFit="1" customWidth="1"/>
    <col min="14" max="14" width="15.88671875" bestFit="1" customWidth="1"/>
    <col min="15" max="15" width="11" bestFit="1" customWidth="1"/>
    <col min="16" max="16" width="15.5546875" bestFit="1" customWidth="1"/>
    <col min="17" max="17" width="11.33203125" bestFit="1" customWidth="1"/>
    <col min="18" max="18" width="15.88671875" bestFit="1" customWidth="1"/>
    <col min="19" max="19" width="11.33203125" bestFit="1" customWidth="1"/>
    <col min="20" max="20" width="15.88671875" bestFit="1" customWidth="1"/>
  </cols>
  <sheetData>
    <row r="1" spans="1:20" x14ac:dyDescent="0.3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7</v>
      </c>
      <c r="G1" s="2" t="s">
        <v>3</v>
      </c>
      <c r="H1" s="2" t="s">
        <v>8</v>
      </c>
      <c r="I1" s="2" t="s">
        <v>4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29.5</v>
      </c>
      <c r="B2" s="1">
        <v>23.6</v>
      </c>
      <c r="C2" s="1">
        <v>33</v>
      </c>
      <c r="D2" s="1">
        <v>28.3</v>
      </c>
      <c r="E2" s="1">
        <v>40.1</v>
      </c>
      <c r="F2" s="1">
        <v>38.9</v>
      </c>
      <c r="G2" s="1">
        <v>45.4</v>
      </c>
      <c r="H2" s="1">
        <v>44.8</v>
      </c>
      <c r="I2" s="1">
        <v>56.6</v>
      </c>
      <c r="J2" s="1">
        <v>55.5</v>
      </c>
      <c r="K2" s="1">
        <v>13.6</v>
      </c>
      <c r="L2" s="1">
        <v>23.6</v>
      </c>
      <c r="M2" s="1">
        <v>20.5</v>
      </c>
      <c r="N2" s="1">
        <v>28.3</v>
      </c>
      <c r="O2" s="1">
        <v>31.9</v>
      </c>
      <c r="P2" s="1">
        <v>38.9</v>
      </c>
      <c r="Q2" s="1">
        <v>41.3</v>
      </c>
      <c r="R2" s="1">
        <v>44.8</v>
      </c>
      <c r="S2" s="1">
        <v>50.7</v>
      </c>
      <c r="T2" s="1">
        <v>55.5</v>
      </c>
    </row>
    <row r="7" spans="1:20" x14ac:dyDescent="0.3">
      <c r="B7" s="29" t="s">
        <v>22</v>
      </c>
      <c r="C7" s="30" t="s">
        <v>77</v>
      </c>
      <c r="F7" s="29" t="s">
        <v>22</v>
      </c>
      <c r="G7" s="30" t="s">
        <v>82</v>
      </c>
    </row>
    <row r="8" spans="1:20" x14ac:dyDescent="0.3">
      <c r="B8" s="25" t="s">
        <v>78</v>
      </c>
      <c r="C8" s="26">
        <v>29.5</v>
      </c>
      <c r="F8" s="25" t="s">
        <v>78</v>
      </c>
      <c r="G8" s="26">
        <v>13.6</v>
      </c>
    </row>
    <row r="9" spans="1:20" x14ac:dyDescent="0.3">
      <c r="B9" s="25" t="s">
        <v>58</v>
      </c>
      <c r="C9" s="26">
        <v>33</v>
      </c>
      <c r="F9" s="25" t="s">
        <v>58</v>
      </c>
      <c r="G9" s="26">
        <v>20.5</v>
      </c>
    </row>
    <row r="10" spans="1:20" x14ac:dyDescent="0.3">
      <c r="B10" s="25" t="s">
        <v>79</v>
      </c>
      <c r="C10" s="26">
        <v>40.1</v>
      </c>
      <c r="F10" s="25" t="s">
        <v>79</v>
      </c>
      <c r="G10" s="26">
        <v>31.9</v>
      </c>
    </row>
    <row r="11" spans="1:20" x14ac:dyDescent="0.3">
      <c r="B11" s="25" t="s">
        <v>57</v>
      </c>
      <c r="C11" s="26">
        <v>45.4</v>
      </c>
      <c r="F11" s="25" t="s">
        <v>57</v>
      </c>
      <c r="G11" s="26">
        <v>41.3</v>
      </c>
    </row>
    <row r="12" spans="1:20" x14ac:dyDescent="0.3">
      <c r="B12" s="27" t="s">
        <v>80</v>
      </c>
      <c r="C12" s="28">
        <v>56.6</v>
      </c>
      <c r="F12" s="27" t="s">
        <v>80</v>
      </c>
      <c r="G12" s="28">
        <v>50.7</v>
      </c>
    </row>
    <row r="15" spans="1:20" ht="15.6" customHeight="1" x14ac:dyDescent="0.3">
      <c r="B15" s="29" t="s">
        <v>22</v>
      </c>
      <c r="C15" s="30" t="s">
        <v>81</v>
      </c>
      <c r="F15" s="19" t="s">
        <v>22</v>
      </c>
      <c r="G15" s="20" t="s">
        <v>83</v>
      </c>
    </row>
    <row r="16" spans="1:20" x14ac:dyDescent="0.3">
      <c r="B16" s="25" t="s">
        <v>78</v>
      </c>
      <c r="C16" s="26">
        <v>23.6</v>
      </c>
      <c r="F16" s="21" t="s">
        <v>78</v>
      </c>
      <c r="G16" s="22">
        <v>23.6</v>
      </c>
    </row>
    <row r="17" spans="2:7" x14ac:dyDescent="0.3">
      <c r="B17" s="25" t="s">
        <v>58</v>
      </c>
      <c r="C17" s="26">
        <v>28.3</v>
      </c>
      <c r="F17" s="21" t="s">
        <v>58</v>
      </c>
      <c r="G17" s="22">
        <v>28.3</v>
      </c>
    </row>
    <row r="18" spans="2:7" x14ac:dyDescent="0.3">
      <c r="B18" s="25" t="s">
        <v>79</v>
      </c>
      <c r="C18" s="26">
        <v>38.9</v>
      </c>
      <c r="F18" s="21" t="s">
        <v>79</v>
      </c>
      <c r="G18" s="22">
        <v>38.9</v>
      </c>
    </row>
    <row r="19" spans="2:7" x14ac:dyDescent="0.3">
      <c r="B19" s="25" t="s">
        <v>57</v>
      </c>
      <c r="C19" s="26">
        <v>44.8</v>
      </c>
      <c r="F19" s="21" t="s">
        <v>57</v>
      </c>
      <c r="G19" s="22">
        <v>44.8</v>
      </c>
    </row>
    <row r="20" spans="2:7" x14ac:dyDescent="0.3">
      <c r="B20" s="27" t="s">
        <v>80</v>
      </c>
      <c r="C20" s="28">
        <v>55.5</v>
      </c>
      <c r="F20" s="23" t="s">
        <v>80</v>
      </c>
      <c r="G20" s="24">
        <v>55.5</v>
      </c>
    </row>
  </sheetData>
  <pageMargins left="0.7" right="0.7" top="0.75" bottom="0.75" header="0.3" footer="0.3"/>
  <pageSetup paperSize="258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D8E8-0D4E-43B7-88CC-C8396A7C781C}">
  <dimension ref="A1:C125"/>
  <sheetViews>
    <sheetView workbookViewId="0">
      <selection activeCell="I28" sqref="I28"/>
    </sheetView>
  </sheetViews>
  <sheetFormatPr defaultRowHeight="14.4" x14ac:dyDescent="0.3"/>
  <cols>
    <col min="1" max="1" width="16" bestFit="1" customWidth="1"/>
    <col min="2" max="2" width="15" bestFit="1" customWidth="1"/>
    <col min="3" max="3" width="9.44140625" customWidth="1"/>
  </cols>
  <sheetData>
    <row r="1" spans="1:3" x14ac:dyDescent="0.3">
      <c r="A1" s="2" t="s">
        <v>20</v>
      </c>
      <c r="B1" s="2" t="s">
        <v>21</v>
      </c>
      <c r="C1" s="2" t="s">
        <v>22</v>
      </c>
    </row>
    <row r="2" spans="1:3" x14ac:dyDescent="0.3">
      <c r="A2" s="3">
        <v>121003</v>
      </c>
      <c r="B2" s="3">
        <v>507101</v>
      </c>
      <c r="C2" s="3" t="s">
        <v>23</v>
      </c>
    </row>
    <row r="3" spans="1:3" x14ac:dyDescent="0.3">
      <c r="A3" s="3">
        <v>121003</v>
      </c>
      <c r="B3" s="3">
        <v>486886</v>
      </c>
      <c r="C3" s="3" t="s">
        <v>23</v>
      </c>
    </row>
    <row r="4" spans="1:3" x14ac:dyDescent="0.3">
      <c r="A4" s="3">
        <v>121003</v>
      </c>
      <c r="B4" s="3">
        <v>532484</v>
      </c>
      <c r="C4" s="3" t="s">
        <v>23</v>
      </c>
    </row>
    <row r="5" spans="1:3" x14ac:dyDescent="0.3">
      <c r="A5" s="3">
        <v>121003</v>
      </c>
      <c r="B5" s="3">
        <v>143001</v>
      </c>
      <c r="C5" s="3" t="s">
        <v>24</v>
      </c>
    </row>
    <row r="6" spans="1:3" x14ac:dyDescent="0.3">
      <c r="A6" s="3">
        <v>121003</v>
      </c>
      <c r="B6" s="3">
        <v>515591</v>
      </c>
      <c r="C6" s="3" t="s">
        <v>23</v>
      </c>
    </row>
    <row r="7" spans="1:3" x14ac:dyDescent="0.3">
      <c r="A7" s="3">
        <v>121003</v>
      </c>
      <c r="B7" s="3">
        <v>326502</v>
      </c>
      <c r="C7" s="3" t="s">
        <v>23</v>
      </c>
    </row>
    <row r="8" spans="1:3" x14ac:dyDescent="0.3">
      <c r="A8" s="3">
        <v>121003</v>
      </c>
      <c r="B8" s="3">
        <v>208019</v>
      </c>
      <c r="C8" s="3" t="s">
        <v>24</v>
      </c>
    </row>
    <row r="9" spans="1:3" x14ac:dyDescent="0.3">
      <c r="A9" s="3">
        <v>121003</v>
      </c>
      <c r="B9" s="3">
        <v>140301</v>
      </c>
      <c r="C9" s="3" t="s">
        <v>24</v>
      </c>
    </row>
    <row r="10" spans="1:3" x14ac:dyDescent="0.3">
      <c r="A10" s="3">
        <v>121003</v>
      </c>
      <c r="B10" s="3">
        <v>396001</v>
      </c>
      <c r="C10" s="3" t="s">
        <v>23</v>
      </c>
    </row>
    <row r="11" spans="1:3" x14ac:dyDescent="0.3">
      <c r="A11" s="3">
        <v>121003</v>
      </c>
      <c r="B11" s="3">
        <v>711106</v>
      </c>
      <c r="C11" s="3" t="s">
        <v>23</v>
      </c>
    </row>
    <row r="12" spans="1:3" x14ac:dyDescent="0.3">
      <c r="A12" s="3">
        <v>121003</v>
      </c>
      <c r="B12" s="3">
        <v>284001</v>
      </c>
      <c r="C12" s="3" t="s">
        <v>24</v>
      </c>
    </row>
    <row r="13" spans="1:3" x14ac:dyDescent="0.3">
      <c r="A13" s="3">
        <v>121003</v>
      </c>
      <c r="B13" s="3">
        <v>441601</v>
      </c>
      <c r="C13" s="3" t="s">
        <v>23</v>
      </c>
    </row>
    <row r="14" spans="1:3" x14ac:dyDescent="0.3">
      <c r="A14" s="3">
        <v>121003</v>
      </c>
      <c r="B14" s="3">
        <v>248006</v>
      </c>
      <c r="C14" s="3" t="s">
        <v>24</v>
      </c>
    </row>
    <row r="15" spans="1:3" x14ac:dyDescent="0.3">
      <c r="A15" s="3">
        <v>121003</v>
      </c>
      <c r="B15" s="3">
        <v>485001</v>
      </c>
      <c r="C15" s="3" t="s">
        <v>23</v>
      </c>
    </row>
    <row r="16" spans="1:3" x14ac:dyDescent="0.3">
      <c r="A16" s="3">
        <v>121003</v>
      </c>
      <c r="B16" s="3">
        <v>845438</v>
      </c>
      <c r="C16" s="3" t="s">
        <v>23</v>
      </c>
    </row>
    <row r="17" spans="1:3" x14ac:dyDescent="0.3">
      <c r="A17" s="3">
        <v>121003</v>
      </c>
      <c r="B17" s="3">
        <v>463106</v>
      </c>
      <c r="C17" s="3" t="s">
        <v>23</v>
      </c>
    </row>
    <row r="18" spans="1:3" x14ac:dyDescent="0.3">
      <c r="A18" s="3">
        <v>121003</v>
      </c>
      <c r="B18" s="3">
        <v>140301</v>
      </c>
      <c r="C18" s="3" t="s">
        <v>24</v>
      </c>
    </row>
    <row r="19" spans="1:3" x14ac:dyDescent="0.3">
      <c r="A19" s="3">
        <v>121003</v>
      </c>
      <c r="B19" s="3">
        <v>495671</v>
      </c>
      <c r="C19" s="3" t="s">
        <v>23</v>
      </c>
    </row>
    <row r="20" spans="1:3" x14ac:dyDescent="0.3">
      <c r="A20" s="3">
        <v>121003</v>
      </c>
      <c r="B20" s="3">
        <v>673002</v>
      </c>
      <c r="C20" s="3" t="s">
        <v>25</v>
      </c>
    </row>
    <row r="21" spans="1:3" x14ac:dyDescent="0.3">
      <c r="A21" s="3">
        <v>121003</v>
      </c>
      <c r="B21" s="3">
        <v>208002</v>
      </c>
      <c r="C21" s="3" t="s">
        <v>24</v>
      </c>
    </row>
    <row r="22" spans="1:3" x14ac:dyDescent="0.3">
      <c r="A22" s="3">
        <v>121003</v>
      </c>
      <c r="B22" s="3">
        <v>416010</v>
      </c>
      <c r="C22" s="3" t="s">
        <v>23</v>
      </c>
    </row>
    <row r="23" spans="1:3" x14ac:dyDescent="0.3">
      <c r="A23" s="3">
        <v>121003</v>
      </c>
      <c r="B23" s="3">
        <v>226010</v>
      </c>
      <c r="C23" s="3" t="s">
        <v>24</v>
      </c>
    </row>
    <row r="24" spans="1:3" x14ac:dyDescent="0.3">
      <c r="A24" s="3">
        <v>121003</v>
      </c>
      <c r="B24" s="3">
        <v>400705</v>
      </c>
      <c r="C24" s="3" t="s">
        <v>23</v>
      </c>
    </row>
    <row r="25" spans="1:3" x14ac:dyDescent="0.3">
      <c r="A25" s="3">
        <v>121003</v>
      </c>
      <c r="B25" s="3">
        <v>262405</v>
      </c>
      <c r="C25" s="3" t="s">
        <v>24</v>
      </c>
    </row>
    <row r="26" spans="1:3" x14ac:dyDescent="0.3">
      <c r="A26" s="3">
        <v>121003</v>
      </c>
      <c r="B26" s="3">
        <v>394210</v>
      </c>
      <c r="C26" s="3" t="s">
        <v>23</v>
      </c>
    </row>
    <row r="27" spans="1:3" x14ac:dyDescent="0.3">
      <c r="A27" s="3">
        <v>121003</v>
      </c>
      <c r="B27" s="3">
        <v>411014</v>
      </c>
      <c r="C27" s="3" t="s">
        <v>23</v>
      </c>
    </row>
    <row r="28" spans="1:3" x14ac:dyDescent="0.3">
      <c r="A28" s="3">
        <v>121003</v>
      </c>
      <c r="B28" s="3">
        <v>783301</v>
      </c>
      <c r="C28" s="3" t="s">
        <v>25</v>
      </c>
    </row>
    <row r="29" spans="1:3" x14ac:dyDescent="0.3">
      <c r="A29" s="3">
        <v>121003</v>
      </c>
      <c r="B29" s="3">
        <v>486661</v>
      </c>
      <c r="C29" s="3" t="s">
        <v>23</v>
      </c>
    </row>
    <row r="30" spans="1:3" x14ac:dyDescent="0.3">
      <c r="A30" s="3">
        <v>121003</v>
      </c>
      <c r="B30" s="3">
        <v>244001</v>
      </c>
      <c r="C30" s="3" t="s">
        <v>24</v>
      </c>
    </row>
    <row r="31" spans="1:3" x14ac:dyDescent="0.3">
      <c r="A31" s="3">
        <v>121003</v>
      </c>
      <c r="B31" s="3">
        <v>492001</v>
      </c>
      <c r="C31" s="3" t="s">
        <v>23</v>
      </c>
    </row>
    <row r="32" spans="1:3" x14ac:dyDescent="0.3">
      <c r="A32" s="3">
        <v>121003</v>
      </c>
      <c r="B32" s="3">
        <v>517128</v>
      </c>
      <c r="C32" s="3" t="s">
        <v>23</v>
      </c>
    </row>
    <row r="33" spans="1:3" x14ac:dyDescent="0.3">
      <c r="A33" s="3">
        <v>121003</v>
      </c>
      <c r="B33" s="3">
        <v>562110</v>
      </c>
      <c r="C33" s="3" t="s">
        <v>23</v>
      </c>
    </row>
    <row r="34" spans="1:3" x14ac:dyDescent="0.3">
      <c r="A34" s="3">
        <v>121003</v>
      </c>
      <c r="B34" s="3">
        <v>831006</v>
      </c>
      <c r="C34" s="3" t="s">
        <v>23</v>
      </c>
    </row>
    <row r="35" spans="1:3" x14ac:dyDescent="0.3">
      <c r="A35" s="3">
        <v>121003</v>
      </c>
      <c r="B35" s="3">
        <v>140604</v>
      </c>
      <c r="C35" s="3" t="s">
        <v>24</v>
      </c>
    </row>
    <row r="36" spans="1:3" x14ac:dyDescent="0.3">
      <c r="A36" s="3">
        <v>121003</v>
      </c>
      <c r="B36" s="3">
        <v>723146</v>
      </c>
      <c r="C36" s="3" t="s">
        <v>23</v>
      </c>
    </row>
    <row r="37" spans="1:3" x14ac:dyDescent="0.3">
      <c r="A37" s="3">
        <v>121003</v>
      </c>
      <c r="B37" s="3">
        <v>421204</v>
      </c>
      <c r="C37" s="3" t="s">
        <v>23</v>
      </c>
    </row>
    <row r="38" spans="1:3" x14ac:dyDescent="0.3">
      <c r="A38" s="3">
        <v>121003</v>
      </c>
      <c r="B38" s="3">
        <v>263139</v>
      </c>
      <c r="C38" s="3" t="s">
        <v>24</v>
      </c>
    </row>
    <row r="39" spans="1:3" x14ac:dyDescent="0.3">
      <c r="A39" s="3">
        <v>121003</v>
      </c>
      <c r="B39" s="3">
        <v>743263</v>
      </c>
      <c r="C39" s="3" t="s">
        <v>23</v>
      </c>
    </row>
    <row r="40" spans="1:3" x14ac:dyDescent="0.3">
      <c r="A40" s="3">
        <v>121003</v>
      </c>
      <c r="B40" s="3">
        <v>392150</v>
      </c>
      <c r="C40" s="3" t="s">
        <v>23</v>
      </c>
    </row>
    <row r="41" spans="1:3" x14ac:dyDescent="0.3">
      <c r="A41" s="3">
        <v>121003</v>
      </c>
      <c r="B41" s="3">
        <v>382830</v>
      </c>
      <c r="C41" s="3" t="s">
        <v>23</v>
      </c>
    </row>
    <row r="42" spans="1:3" x14ac:dyDescent="0.3">
      <c r="A42" s="3">
        <v>121003</v>
      </c>
      <c r="B42" s="3">
        <v>711303</v>
      </c>
      <c r="C42" s="3" t="s">
        <v>23</v>
      </c>
    </row>
    <row r="43" spans="1:3" x14ac:dyDescent="0.3">
      <c r="A43" s="3">
        <v>121003</v>
      </c>
      <c r="B43" s="3">
        <v>283102</v>
      </c>
      <c r="C43" s="3" t="s">
        <v>24</v>
      </c>
    </row>
    <row r="44" spans="1:3" x14ac:dyDescent="0.3">
      <c r="A44" s="3">
        <v>121003</v>
      </c>
      <c r="B44" s="3">
        <v>370201</v>
      </c>
      <c r="C44" s="3" t="s">
        <v>23</v>
      </c>
    </row>
    <row r="45" spans="1:3" x14ac:dyDescent="0.3">
      <c r="A45" s="3">
        <v>121003</v>
      </c>
      <c r="B45" s="3">
        <v>248001</v>
      </c>
      <c r="C45" s="3" t="s">
        <v>24</v>
      </c>
    </row>
    <row r="46" spans="1:3" x14ac:dyDescent="0.3">
      <c r="A46" s="3">
        <v>121003</v>
      </c>
      <c r="B46" s="3">
        <v>144001</v>
      </c>
      <c r="C46" s="3" t="s">
        <v>24</v>
      </c>
    </row>
    <row r="47" spans="1:3" x14ac:dyDescent="0.3">
      <c r="A47" s="3">
        <v>121003</v>
      </c>
      <c r="B47" s="3">
        <v>403401</v>
      </c>
      <c r="C47" s="3" t="s">
        <v>23</v>
      </c>
    </row>
    <row r="48" spans="1:3" x14ac:dyDescent="0.3">
      <c r="A48" s="3">
        <v>121003</v>
      </c>
      <c r="B48" s="3">
        <v>452001</v>
      </c>
      <c r="C48" s="3" t="s">
        <v>23</v>
      </c>
    </row>
    <row r="49" spans="1:3" x14ac:dyDescent="0.3">
      <c r="A49" s="3">
        <v>121003</v>
      </c>
      <c r="B49" s="3">
        <v>721636</v>
      </c>
      <c r="C49" s="3" t="s">
        <v>23</v>
      </c>
    </row>
    <row r="50" spans="1:3" x14ac:dyDescent="0.3">
      <c r="A50" s="3">
        <v>121003</v>
      </c>
      <c r="B50" s="3">
        <v>831002</v>
      </c>
      <c r="C50" s="3" t="s">
        <v>23</v>
      </c>
    </row>
    <row r="51" spans="1:3" x14ac:dyDescent="0.3">
      <c r="A51" s="3">
        <v>121003</v>
      </c>
      <c r="B51" s="3">
        <v>226004</v>
      </c>
      <c r="C51" s="3" t="s">
        <v>24</v>
      </c>
    </row>
    <row r="52" spans="1:3" x14ac:dyDescent="0.3">
      <c r="A52" s="3">
        <v>121003</v>
      </c>
      <c r="B52" s="3">
        <v>248001</v>
      </c>
      <c r="C52" s="3" t="s">
        <v>24</v>
      </c>
    </row>
    <row r="53" spans="1:3" x14ac:dyDescent="0.3">
      <c r="A53" s="3">
        <v>121003</v>
      </c>
      <c r="B53" s="3">
        <v>410206</v>
      </c>
      <c r="C53" s="3" t="s">
        <v>23</v>
      </c>
    </row>
    <row r="54" spans="1:3" x14ac:dyDescent="0.3">
      <c r="A54" s="3">
        <v>121003</v>
      </c>
      <c r="B54" s="3">
        <v>516503</v>
      </c>
      <c r="C54" s="3" t="s">
        <v>23</v>
      </c>
    </row>
    <row r="55" spans="1:3" x14ac:dyDescent="0.3">
      <c r="A55" s="3">
        <v>121003</v>
      </c>
      <c r="B55" s="3">
        <v>742103</v>
      </c>
      <c r="C55" s="3" t="s">
        <v>23</v>
      </c>
    </row>
    <row r="56" spans="1:3" x14ac:dyDescent="0.3">
      <c r="A56" s="3">
        <v>121003</v>
      </c>
      <c r="B56" s="3">
        <v>452018</v>
      </c>
      <c r="C56" s="3" t="s">
        <v>23</v>
      </c>
    </row>
    <row r="57" spans="1:3" x14ac:dyDescent="0.3">
      <c r="A57" s="3">
        <v>121003</v>
      </c>
      <c r="B57" s="3">
        <v>208001</v>
      </c>
      <c r="C57" s="3" t="s">
        <v>24</v>
      </c>
    </row>
    <row r="58" spans="1:3" x14ac:dyDescent="0.3">
      <c r="A58" s="3">
        <v>121003</v>
      </c>
      <c r="B58" s="3">
        <v>244713</v>
      </c>
      <c r="C58" s="3" t="s">
        <v>24</v>
      </c>
    </row>
    <row r="59" spans="1:3" x14ac:dyDescent="0.3">
      <c r="A59" s="3">
        <v>121003</v>
      </c>
      <c r="B59" s="3">
        <v>580007</v>
      </c>
      <c r="C59" s="3" t="s">
        <v>23</v>
      </c>
    </row>
    <row r="60" spans="1:3" x14ac:dyDescent="0.3">
      <c r="A60" s="3">
        <v>121003</v>
      </c>
      <c r="B60" s="3">
        <v>360005</v>
      </c>
      <c r="C60" s="3" t="s">
        <v>23</v>
      </c>
    </row>
    <row r="61" spans="1:3" x14ac:dyDescent="0.3">
      <c r="A61" s="3">
        <v>121003</v>
      </c>
      <c r="B61" s="3">
        <v>313027</v>
      </c>
      <c r="C61" s="3" t="s">
        <v>24</v>
      </c>
    </row>
    <row r="62" spans="1:3" x14ac:dyDescent="0.3">
      <c r="A62" s="3">
        <v>121003</v>
      </c>
      <c r="B62" s="3">
        <v>341001</v>
      </c>
      <c r="C62" s="3" t="s">
        <v>24</v>
      </c>
    </row>
    <row r="63" spans="1:3" x14ac:dyDescent="0.3">
      <c r="A63" s="3">
        <v>121003</v>
      </c>
      <c r="B63" s="3">
        <v>332715</v>
      </c>
      <c r="C63" s="3" t="s">
        <v>24</v>
      </c>
    </row>
    <row r="64" spans="1:3" x14ac:dyDescent="0.3">
      <c r="A64" s="3">
        <v>121003</v>
      </c>
      <c r="B64" s="3">
        <v>302031</v>
      </c>
      <c r="C64" s="3" t="s">
        <v>24</v>
      </c>
    </row>
    <row r="65" spans="1:3" x14ac:dyDescent="0.3">
      <c r="A65" s="3">
        <v>121003</v>
      </c>
      <c r="B65" s="3">
        <v>335001</v>
      </c>
      <c r="C65" s="3" t="s">
        <v>24</v>
      </c>
    </row>
    <row r="66" spans="1:3" x14ac:dyDescent="0.3">
      <c r="A66" s="3">
        <v>121003</v>
      </c>
      <c r="B66" s="3">
        <v>334004</v>
      </c>
      <c r="C66" s="3" t="s">
        <v>24</v>
      </c>
    </row>
    <row r="67" spans="1:3" x14ac:dyDescent="0.3">
      <c r="A67" s="3">
        <v>121003</v>
      </c>
      <c r="B67" s="3">
        <v>321001</v>
      </c>
      <c r="C67" s="3" t="s">
        <v>24</v>
      </c>
    </row>
    <row r="68" spans="1:3" x14ac:dyDescent="0.3">
      <c r="A68" s="3">
        <v>121003</v>
      </c>
      <c r="B68" s="3">
        <v>324001</v>
      </c>
      <c r="C68" s="3" t="s">
        <v>24</v>
      </c>
    </row>
    <row r="69" spans="1:3" x14ac:dyDescent="0.3">
      <c r="A69" s="3">
        <v>121003</v>
      </c>
      <c r="B69" s="3">
        <v>321608</v>
      </c>
      <c r="C69" s="3" t="s">
        <v>24</v>
      </c>
    </row>
    <row r="70" spans="1:3" x14ac:dyDescent="0.3">
      <c r="A70" s="3">
        <v>121003</v>
      </c>
      <c r="B70" s="3">
        <v>302002</v>
      </c>
      <c r="C70" s="3" t="s">
        <v>24</v>
      </c>
    </row>
    <row r="71" spans="1:3" x14ac:dyDescent="0.3">
      <c r="A71" s="3">
        <v>121003</v>
      </c>
      <c r="B71" s="3">
        <v>311011</v>
      </c>
      <c r="C71" s="3" t="s">
        <v>24</v>
      </c>
    </row>
    <row r="72" spans="1:3" x14ac:dyDescent="0.3">
      <c r="A72" s="3">
        <v>121003</v>
      </c>
      <c r="B72" s="3">
        <v>306302</v>
      </c>
      <c r="C72" s="3" t="s">
        <v>24</v>
      </c>
    </row>
    <row r="73" spans="1:3" x14ac:dyDescent="0.3">
      <c r="A73" s="3">
        <v>121003</v>
      </c>
      <c r="B73" s="3">
        <v>313001</v>
      </c>
      <c r="C73" s="3" t="s">
        <v>24</v>
      </c>
    </row>
    <row r="74" spans="1:3" x14ac:dyDescent="0.3">
      <c r="A74" s="3">
        <v>121003</v>
      </c>
      <c r="B74" s="3">
        <v>302002</v>
      </c>
      <c r="C74" s="3" t="s">
        <v>24</v>
      </c>
    </row>
    <row r="75" spans="1:3" x14ac:dyDescent="0.3">
      <c r="A75" s="3">
        <v>121003</v>
      </c>
      <c r="B75" s="3">
        <v>322255</v>
      </c>
      <c r="C75" s="3" t="s">
        <v>24</v>
      </c>
    </row>
    <row r="76" spans="1:3" x14ac:dyDescent="0.3">
      <c r="A76" s="3">
        <v>121003</v>
      </c>
      <c r="B76" s="3">
        <v>302017</v>
      </c>
      <c r="C76" s="3" t="s">
        <v>24</v>
      </c>
    </row>
    <row r="77" spans="1:3" x14ac:dyDescent="0.3">
      <c r="A77" s="3">
        <v>121003</v>
      </c>
      <c r="B77" s="3">
        <v>302017</v>
      </c>
      <c r="C77" s="3" t="s">
        <v>24</v>
      </c>
    </row>
    <row r="78" spans="1:3" x14ac:dyDescent="0.3">
      <c r="A78" s="3">
        <v>121003</v>
      </c>
      <c r="B78" s="3">
        <v>335512</v>
      </c>
      <c r="C78" s="3" t="s">
        <v>24</v>
      </c>
    </row>
    <row r="79" spans="1:3" x14ac:dyDescent="0.3">
      <c r="A79" s="3">
        <v>121003</v>
      </c>
      <c r="B79" s="3">
        <v>313001</v>
      </c>
      <c r="C79" s="3" t="s">
        <v>24</v>
      </c>
    </row>
    <row r="80" spans="1:3" x14ac:dyDescent="0.3">
      <c r="A80" s="3">
        <v>121003</v>
      </c>
      <c r="B80" s="3">
        <v>313001</v>
      </c>
      <c r="C80" s="3" t="s">
        <v>24</v>
      </c>
    </row>
    <row r="81" spans="1:3" x14ac:dyDescent="0.3">
      <c r="A81" s="3">
        <v>121003</v>
      </c>
      <c r="B81" s="3">
        <v>307026</v>
      </c>
      <c r="C81" s="3" t="s">
        <v>24</v>
      </c>
    </row>
    <row r="82" spans="1:3" x14ac:dyDescent="0.3">
      <c r="A82" s="3">
        <v>121003</v>
      </c>
      <c r="B82" s="3">
        <v>327025</v>
      </c>
      <c r="C82" s="3" t="s">
        <v>24</v>
      </c>
    </row>
    <row r="83" spans="1:3" x14ac:dyDescent="0.3">
      <c r="A83" s="3">
        <v>121003</v>
      </c>
      <c r="B83" s="3">
        <v>313333</v>
      </c>
      <c r="C83" s="3" t="s">
        <v>24</v>
      </c>
    </row>
    <row r="84" spans="1:3" x14ac:dyDescent="0.3">
      <c r="A84" s="3">
        <v>121003</v>
      </c>
      <c r="B84" s="3">
        <v>313001</v>
      </c>
      <c r="C84" s="3" t="s">
        <v>24</v>
      </c>
    </row>
    <row r="85" spans="1:3" x14ac:dyDescent="0.3">
      <c r="A85" s="3">
        <v>121003</v>
      </c>
      <c r="B85" s="3">
        <v>342008</v>
      </c>
      <c r="C85" s="3" t="s">
        <v>24</v>
      </c>
    </row>
    <row r="86" spans="1:3" x14ac:dyDescent="0.3">
      <c r="A86" s="3">
        <v>121003</v>
      </c>
      <c r="B86" s="3">
        <v>314401</v>
      </c>
      <c r="C86" s="3" t="s">
        <v>24</v>
      </c>
    </row>
    <row r="87" spans="1:3" x14ac:dyDescent="0.3">
      <c r="A87" s="3">
        <v>121003</v>
      </c>
      <c r="B87" s="3">
        <v>342301</v>
      </c>
      <c r="C87" s="3" t="s">
        <v>24</v>
      </c>
    </row>
    <row r="88" spans="1:3" x14ac:dyDescent="0.3">
      <c r="A88" s="3">
        <v>121003</v>
      </c>
      <c r="B88" s="3">
        <v>313003</v>
      </c>
      <c r="C88" s="3" t="s">
        <v>24</v>
      </c>
    </row>
    <row r="89" spans="1:3" x14ac:dyDescent="0.3">
      <c r="A89" s="3">
        <v>121003</v>
      </c>
      <c r="B89" s="3">
        <v>173212</v>
      </c>
      <c r="C89" s="3" t="s">
        <v>25</v>
      </c>
    </row>
    <row r="90" spans="1:3" x14ac:dyDescent="0.3">
      <c r="A90" s="3">
        <v>121003</v>
      </c>
      <c r="B90" s="3">
        <v>174101</v>
      </c>
      <c r="C90" s="3" t="s">
        <v>25</v>
      </c>
    </row>
    <row r="91" spans="1:3" x14ac:dyDescent="0.3">
      <c r="A91" s="3">
        <v>121003</v>
      </c>
      <c r="B91" s="3">
        <v>173213</v>
      </c>
      <c r="C91" s="3" t="s">
        <v>25</v>
      </c>
    </row>
    <row r="92" spans="1:3" x14ac:dyDescent="0.3">
      <c r="A92" s="3">
        <v>121003</v>
      </c>
      <c r="B92" s="3">
        <v>302017</v>
      </c>
      <c r="C92" s="3" t="s">
        <v>24</v>
      </c>
    </row>
    <row r="93" spans="1:3" x14ac:dyDescent="0.3">
      <c r="A93" s="3">
        <v>121003</v>
      </c>
      <c r="B93" s="3">
        <v>322201</v>
      </c>
      <c r="C93" s="3" t="s">
        <v>24</v>
      </c>
    </row>
    <row r="94" spans="1:3" x14ac:dyDescent="0.3">
      <c r="A94" s="3">
        <v>121003</v>
      </c>
      <c r="B94" s="3">
        <v>314001</v>
      </c>
      <c r="C94" s="3" t="s">
        <v>24</v>
      </c>
    </row>
    <row r="95" spans="1:3" x14ac:dyDescent="0.3">
      <c r="A95" s="3">
        <v>121003</v>
      </c>
      <c r="B95" s="3">
        <v>331022</v>
      </c>
      <c r="C95" s="3" t="s">
        <v>24</v>
      </c>
    </row>
    <row r="96" spans="1:3" x14ac:dyDescent="0.3">
      <c r="A96" s="3">
        <v>121003</v>
      </c>
      <c r="B96" s="3">
        <v>305801</v>
      </c>
      <c r="C96" s="3" t="s">
        <v>24</v>
      </c>
    </row>
    <row r="97" spans="1:3" x14ac:dyDescent="0.3">
      <c r="A97" s="3">
        <v>121003</v>
      </c>
      <c r="B97" s="3">
        <v>335502</v>
      </c>
      <c r="C97" s="3" t="s">
        <v>24</v>
      </c>
    </row>
    <row r="98" spans="1:3" x14ac:dyDescent="0.3">
      <c r="A98" s="3">
        <v>121003</v>
      </c>
      <c r="B98" s="3">
        <v>306116</v>
      </c>
      <c r="C98" s="3" t="s">
        <v>24</v>
      </c>
    </row>
    <row r="99" spans="1:3" x14ac:dyDescent="0.3">
      <c r="A99" s="3">
        <v>121003</v>
      </c>
      <c r="B99" s="3">
        <v>311001</v>
      </c>
      <c r="C99" s="3" t="s">
        <v>24</v>
      </c>
    </row>
    <row r="100" spans="1:3" x14ac:dyDescent="0.3">
      <c r="A100" s="3">
        <v>121003</v>
      </c>
      <c r="B100" s="3">
        <v>302019</v>
      </c>
      <c r="C100" s="3" t="s">
        <v>24</v>
      </c>
    </row>
    <row r="101" spans="1:3" x14ac:dyDescent="0.3">
      <c r="A101" s="3">
        <v>121003</v>
      </c>
      <c r="B101" s="3">
        <v>302039</v>
      </c>
      <c r="C101" s="3" t="s">
        <v>24</v>
      </c>
    </row>
    <row r="102" spans="1:3" x14ac:dyDescent="0.3">
      <c r="A102" s="3">
        <v>121003</v>
      </c>
      <c r="B102" s="3">
        <v>335803</v>
      </c>
      <c r="C102" s="3" t="s">
        <v>24</v>
      </c>
    </row>
    <row r="103" spans="1:3" x14ac:dyDescent="0.3">
      <c r="A103" s="3">
        <v>121003</v>
      </c>
      <c r="B103" s="3">
        <v>335001</v>
      </c>
      <c r="C103" s="3" t="s">
        <v>24</v>
      </c>
    </row>
    <row r="104" spans="1:3" x14ac:dyDescent="0.3">
      <c r="A104" s="3">
        <v>121003</v>
      </c>
      <c r="B104" s="3">
        <v>175101</v>
      </c>
      <c r="C104" s="3" t="s">
        <v>25</v>
      </c>
    </row>
    <row r="105" spans="1:3" x14ac:dyDescent="0.3">
      <c r="A105" s="3">
        <v>121003</v>
      </c>
      <c r="B105" s="3">
        <v>303903</v>
      </c>
      <c r="C105" s="3" t="s">
        <v>24</v>
      </c>
    </row>
    <row r="106" spans="1:3" x14ac:dyDescent="0.3">
      <c r="A106" s="3">
        <v>121003</v>
      </c>
      <c r="B106" s="3">
        <v>342012</v>
      </c>
      <c r="C106" s="3" t="s">
        <v>24</v>
      </c>
    </row>
    <row r="107" spans="1:3" x14ac:dyDescent="0.3">
      <c r="A107" s="3">
        <v>121003</v>
      </c>
      <c r="B107" s="3">
        <v>334001</v>
      </c>
      <c r="C107" s="3" t="s">
        <v>24</v>
      </c>
    </row>
    <row r="108" spans="1:3" x14ac:dyDescent="0.3">
      <c r="A108" s="3">
        <v>121003</v>
      </c>
      <c r="B108" s="3">
        <v>302031</v>
      </c>
      <c r="C108" s="3" t="s">
        <v>24</v>
      </c>
    </row>
    <row r="109" spans="1:3" x14ac:dyDescent="0.3">
      <c r="A109" s="3">
        <v>121003</v>
      </c>
      <c r="B109" s="3">
        <v>302012</v>
      </c>
      <c r="C109" s="3" t="s">
        <v>24</v>
      </c>
    </row>
    <row r="110" spans="1:3" x14ac:dyDescent="0.3">
      <c r="A110" s="3">
        <v>121003</v>
      </c>
      <c r="B110" s="3">
        <v>342014</v>
      </c>
      <c r="C110" s="3" t="s">
        <v>24</v>
      </c>
    </row>
    <row r="111" spans="1:3" x14ac:dyDescent="0.3">
      <c r="A111" s="3">
        <v>121003</v>
      </c>
      <c r="B111" s="3">
        <v>324005</v>
      </c>
      <c r="C111" s="3" t="s">
        <v>24</v>
      </c>
    </row>
    <row r="112" spans="1:3" x14ac:dyDescent="0.3">
      <c r="A112" s="3">
        <v>121003</v>
      </c>
      <c r="B112" s="3">
        <v>302001</v>
      </c>
      <c r="C112" s="3" t="s">
        <v>24</v>
      </c>
    </row>
    <row r="113" spans="1:3" x14ac:dyDescent="0.3">
      <c r="A113" s="3">
        <v>121003</v>
      </c>
      <c r="B113" s="3">
        <v>302004</v>
      </c>
      <c r="C113" s="3" t="s">
        <v>24</v>
      </c>
    </row>
    <row r="114" spans="1:3" x14ac:dyDescent="0.3">
      <c r="A114" s="3">
        <v>121003</v>
      </c>
      <c r="B114" s="3">
        <v>302018</v>
      </c>
      <c r="C114" s="3" t="s">
        <v>24</v>
      </c>
    </row>
    <row r="115" spans="1:3" x14ac:dyDescent="0.3">
      <c r="A115" s="3">
        <v>121003</v>
      </c>
      <c r="B115" s="3">
        <v>302017</v>
      </c>
      <c r="C115" s="3" t="s">
        <v>24</v>
      </c>
    </row>
    <row r="116" spans="1:3" x14ac:dyDescent="0.3">
      <c r="A116" s="3">
        <v>121003</v>
      </c>
      <c r="B116" s="3">
        <v>324008</v>
      </c>
      <c r="C116" s="3" t="s">
        <v>24</v>
      </c>
    </row>
    <row r="117" spans="1:3" x14ac:dyDescent="0.3">
      <c r="A117" s="3">
        <v>121003</v>
      </c>
      <c r="B117" s="3">
        <v>302020</v>
      </c>
      <c r="C117" s="3" t="s">
        <v>24</v>
      </c>
    </row>
    <row r="118" spans="1:3" x14ac:dyDescent="0.3">
      <c r="A118" s="3">
        <v>121003</v>
      </c>
      <c r="B118" s="3">
        <v>302018</v>
      </c>
      <c r="C118" s="3" t="s">
        <v>24</v>
      </c>
    </row>
    <row r="119" spans="1:3" x14ac:dyDescent="0.3">
      <c r="A119" s="3">
        <v>121003</v>
      </c>
      <c r="B119" s="3">
        <v>302017</v>
      </c>
      <c r="C119" s="3" t="s">
        <v>24</v>
      </c>
    </row>
    <row r="120" spans="1:3" x14ac:dyDescent="0.3">
      <c r="A120" s="3">
        <v>121003</v>
      </c>
      <c r="B120" s="3">
        <v>302012</v>
      </c>
      <c r="C120" s="3" t="s">
        <v>24</v>
      </c>
    </row>
    <row r="121" spans="1:3" x14ac:dyDescent="0.3">
      <c r="A121" s="3">
        <v>121003</v>
      </c>
      <c r="B121" s="3">
        <v>325207</v>
      </c>
      <c r="C121" s="3" t="s">
        <v>24</v>
      </c>
    </row>
    <row r="122" spans="1:3" x14ac:dyDescent="0.3">
      <c r="A122" s="3">
        <v>121003</v>
      </c>
      <c r="B122" s="3">
        <v>303702</v>
      </c>
      <c r="C122" s="3" t="s">
        <v>24</v>
      </c>
    </row>
    <row r="123" spans="1:3" x14ac:dyDescent="0.3">
      <c r="A123" s="3">
        <v>121003</v>
      </c>
      <c r="B123" s="3">
        <v>313301</v>
      </c>
      <c r="C123" s="3" t="s">
        <v>24</v>
      </c>
    </row>
    <row r="124" spans="1:3" x14ac:dyDescent="0.3">
      <c r="A124" s="3">
        <v>121003</v>
      </c>
      <c r="B124" s="3">
        <v>173212</v>
      </c>
      <c r="C124" s="3" t="s">
        <v>25</v>
      </c>
    </row>
    <row r="125" spans="1:3" x14ac:dyDescent="0.3">
      <c r="A125" s="3">
        <v>121003</v>
      </c>
      <c r="B125" s="3">
        <v>302020</v>
      </c>
      <c r="C125" s="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C501-288C-40FB-A29C-3944B876D62D}">
  <dimension ref="A1:E401"/>
  <sheetViews>
    <sheetView workbookViewId="0">
      <selection activeCell="E2" sqref="E2"/>
    </sheetView>
  </sheetViews>
  <sheetFormatPr defaultRowHeight="14.4" x14ac:dyDescent="0.3"/>
  <cols>
    <col min="1" max="1" width="21.33203125" customWidth="1"/>
    <col min="2" max="2" width="25.21875" customWidth="1"/>
    <col min="4" max="4" width="9.33203125" bestFit="1" customWidth="1"/>
    <col min="5" max="5" width="14" bestFit="1" customWidth="1"/>
  </cols>
  <sheetData>
    <row r="1" spans="1:5" x14ac:dyDescent="0.3">
      <c r="A1" s="2" t="s">
        <v>40</v>
      </c>
      <c r="B1" s="2" t="s">
        <v>33</v>
      </c>
      <c r="C1" s="2" t="s">
        <v>41</v>
      </c>
      <c r="D1" s="8" t="s">
        <v>59</v>
      </c>
      <c r="E1" s="8" t="s">
        <v>60</v>
      </c>
    </row>
    <row r="2" spans="1:5" x14ac:dyDescent="0.3">
      <c r="A2" s="3">
        <v>2001827036</v>
      </c>
      <c r="B2" s="4">
        <v>8904223818706</v>
      </c>
      <c r="C2" s="13">
        <v>1</v>
      </c>
      <c r="D2" s="14">
        <f>VLOOKUP(B2,SKU_Company!A:B,2,FALSE)</f>
        <v>127</v>
      </c>
      <c r="E2" s="14">
        <f>D2*C2</f>
        <v>127</v>
      </c>
    </row>
    <row r="3" spans="1:5" x14ac:dyDescent="0.3">
      <c r="A3" s="3">
        <v>2001827036</v>
      </c>
      <c r="B3" s="4">
        <v>8904223819093</v>
      </c>
      <c r="C3" s="3">
        <v>1</v>
      </c>
      <c r="D3" s="14">
        <f>VLOOKUP(B3,SKU_Company!A:B,2,FALSE)</f>
        <v>150</v>
      </c>
      <c r="E3" s="14">
        <f t="shared" ref="E3:E66" si="0">D3*C3</f>
        <v>150</v>
      </c>
    </row>
    <row r="4" spans="1:5" x14ac:dyDescent="0.3">
      <c r="A4" s="3">
        <v>2001827036</v>
      </c>
      <c r="B4" s="4">
        <v>8904223819109</v>
      </c>
      <c r="C4" s="3">
        <v>1</v>
      </c>
      <c r="D4" s="14">
        <f>VLOOKUP(B4,SKU_Company!A:B,2,FALSE)</f>
        <v>100</v>
      </c>
      <c r="E4" s="14">
        <f t="shared" si="0"/>
        <v>100</v>
      </c>
    </row>
    <row r="5" spans="1:5" x14ac:dyDescent="0.3">
      <c r="A5" s="3">
        <v>2001827036</v>
      </c>
      <c r="B5" s="4">
        <v>8904223818430</v>
      </c>
      <c r="C5" s="3">
        <v>1</v>
      </c>
      <c r="D5" s="14">
        <f>VLOOKUP(B5,SKU_Company!A:B,2,FALSE)</f>
        <v>165</v>
      </c>
      <c r="E5" s="14">
        <f t="shared" si="0"/>
        <v>165</v>
      </c>
    </row>
    <row r="6" spans="1:5" x14ac:dyDescent="0.3">
      <c r="A6" s="3">
        <v>2001827036</v>
      </c>
      <c r="B6" s="4">
        <v>8904223819277</v>
      </c>
      <c r="C6" s="3">
        <v>1</v>
      </c>
      <c r="D6" s="14">
        <f>VLOOKUP(B6,SKU_Company!A:B,2,FALSE)</f>
        <v>350</v>
      </c>
      <c r="E6" s="14">
        <f t="shared" si="0"/>
        <v>350</v>
      </c>
    </row>
    <row r="7" spans="1:5" x14ac:dyDescent="0.3">
      <c r="A7" s="3">
        <v>2001827036</v>
      </c>
      <c r="B7" s="4" t="s">
        <v>37</v>
      </c>
      <c r="C7" s="3">
        <v>1</v>
      </c>
      <c r="D7" s="14">
        <f>VLOOKUP(B7,SKU_Company!A:B,2,FALSE)</f>
        <v>500</v>
      </c>
      <c r="E7" s="14">
        <f t="shared" si="0"/>
        <v>500</v>
      </c>
    </row>
    <row r="8" spans="1:5" x14ac:dyDescent="0.3">
      <c r="A8" s="3">
        <v>2001827036</v>
      </c>
      <c r="B8" s="4">
        <v>8904223818638</v>
      </c>
      <c r="C8" s="3">
        <v>2</v>
      </c>
      <c r="D8" s="14">
        <f>VLOOKUP(B8,SKU_Company!A:B,2,FALSE)</f>
        <v>137</v>
      </c>
      <c r="E8" s="14">
        <f t="shared" si="0"/>
        <v>274</v>
      </c>
    </row>
    <row r="9" spans="1:5" x14ac:dyDescent="0.3">
      <c r="A9" s="3">
        <v>2001827036</v>
      </c>
      <c r="B9" s="4" t="s">
        <v>39</v>
      </c>
      <c r="C9" s="3">
        <v>1</v>
      </c>
      <c r="D9" s="14">
        <f>VLOOKUP(B9,SKU_Company!A:B,2,FALSE)</f>
        <v>10</v>
      </c>
      <c r="E9" s="14">
        <f t="shared" si="0"/>
        <v>10</v>
      </c>
    </row>
    <row r="10" spans="1:5" x14ac:dyDescent="0.3">
      <c r="A10" s="3">
        <v>2001825261</v>
      </c>
      <c r="B10" s="4">
        <v>8904223819024</v>
      </c>
      <c r="C10" s="3">
        <v>4</v>
      </c>
      <c r="D10" s="14">
        <f>VLOOKUP(B10,SKU_Company!A:B,2,FALSE)</f>
        <v>112</v>
      </c>
      <c r="E10" s="14">
        <f t="shared" si="0"/>
        <v>448</v>
      </c>
    </row>
    <row r="11" spans="1:5" x14ac:dyDescent="0.3">
      <c r="A11" s="3">
        <v>2001825261</v>
      </c>
      <c r="B11" s="4">
        <v>8904223819291</v>
      </c>
      <c r="C11" s="3">
        <v>4</v>
      </c>
      <c r="D11" s="14">
        <f>VLOOKUP(B11,SKU_Company!A:B,2,FALSE)</f>
        <v>112</v>
      </c>
      <c r="E11" s="14">
        <f t="shared" si="0"/>
        <v>448</v>
      </c>
    </row>
    <row r="12" spans="1:5" x14ac:dyDescent="0.3">
      <c r="A12" s="3">
        <v>2001825261</v>
      </c>
      <c r="B12" s="4">
        <v>8904223818638</v>
      </c>
      <c r="C12" s="3">
        <v>3</v>
      </c>
      <c r="D12" s="14">
        <f>VLOOKUP(B12,SKU_Company!A:B,2,FALSE)</f>
        <v>137</v>
      </c>
      <c r="E12" s="14">
        <f t="shared" si="0"/>
        <v>411</v>
      </c>
    </row>
    <row r="13" spans="1:5" x14ac:dyDescent="0.3">
      <c r="A13" s="3">
        <v>2001825261</v>
      </c>
      <c r="B13" s="4">
        <v>8904223818669</v>
      </c>
      <c r="C13" s="3">
        <v>1</v>
      </c>
      <c r="D13" s="14">
        <f>VLOOKUP(B13,SKU_Company!A:B,2,FALSE)</f>
        <v>240</v>
      </c>
      <c r="E13" s="14">
        <f t="shared" si="0"/>
        <v>240</v>
      </c>
    </row>
    <row r="14" spans="1:5" x14ac:dyDescent="0.3">
      <c r="A14" s="3">
        <v>2001825261</v>
      </c>
      <c r="B14" s="4" t="s">
        <v>39</v>
      </c>
      <c r="C14" s="3">
        <v>1</v>
      </c>
      <c r="D14" s="14">
        <f>VLOOKUP(B14,SKU_Company!A:B,2,FALSE)</f>
        <v>10</v>
      </c>
      <c r="E14" s="14">
        <f t="shared" si="0"/>
        <v>10</v>
      </c>
    </row>
    <row r="15" spans="1:5" x14ac:dyDescent="0.3">
      <c r="A15" s="3">
        <v>2001823564</v>
      </c>
      <c r="B15" s="4">
        <v>8904223819291</v>
      </c>
      <c r="C15" s="3">
        <v>2</v>
      </c>
      <c r="D15" s="14">
        <f>VLOOKUP(B15,SKU_Company!A:B,2,FALSE)</f>
        <v>112</v>
      </c>
      <c r="E15" s="14">
        <f t="shared" si="0"/>
        <v>224</v>
      </c>
    </row>
    <row r="16" spans="1:5" x14ac:dyDescent="0.3">
      <c r="A16" s="3">
        <v>2001823564</v>
      </c>
      <c r="B16" s="4">
        <v>8904223819031</v>
      </c>
      <c r="C16" s="3">
        <v>2</v>
      </c>
      <c r="D16" s="14">
        <f>VLOOKUP(B16,SKU_Company!A:B,2,FALSE)</f>
        <v>112</v>
      </c>
      <c r="E16" s="14">
        <f t="shared" si="0"/>
        <v>224</v>
      </c>
    </row>
    <row r="17" spans="1:5" x14ac:dyDescent="0.3">
      <c r="A17" s="3">
        <v>2001823564</v>
      </c>
      <c r="B17" s="4">
        <v>8904223819024</v>
      </c>
      <c r="C17" s="3">
        <v>2</v>
      </c>
      <c r="D17" s="14">
        <f>VLOOKUP(B17,SKU_Company!A:B,2,FALSE)</f>
        <v>112</v>
      </c>
      <c r="E17" s="14">
        <f t="shared" si="0"/>
        <v>224</v>
      </c>
    </row>
    <row r="18" spans="1:5" x14ac:dyDescent="0.3">
      <c r="A18" s="3">
        <v>2001822466</v>
      </c>
      <c r="B18" s="4">
        <v>8904223819468</v>
      </c>
      <c r="C18" s="3">
        <v>2</v>
      </c>
      <c r="D18" s="14">
        <f>VLOOKUP(B18,SKU_Company!A:B,2,FALSE)</f>
        <v>240</v>
      </c>
      <c r="E18" s="14">
        <f t="shared" si="0"/>
        <v>480</v>
      </c>
    </row>
    <row r="19" spans="1:5" x14ac:dyDescent="0.3">
      <c r="A19" s="3">
        <v>2001822466</v>
      </c>
      <c r="B19" s="4">
        <v>8904223819291</v>
      </c>
      <c r="C19" s="3">
        <v>8</v>
      </c>
      <c r="D19" s="14">
        <f>VLOOKUP(B19,SKU_Company!A:B,2,FALSE)</f>
        <v>112</v>
      </c>
      <c r="E19" s="14">
        <f t="shared" si="0"/>
        <v>896</v>
      </c>
    </row>
    <row r="20" spans="1:5" x14ac:dyDescent="0.3">
      <c r="A20" s="3">
        <v>2001821995</v>
      </c>
      <c r="B20" s="4">
        <v>8904223819130</v>
      </c>
      <c r="C20" s="3">
        <v>1</v>
      </c>
      <c r="D20" s="14">
        <f>VLOOKUP(B20,SKU_Company!A:B,2,FALSE)</f>
        <v>350</v>
      </c>
      <c r="E20" s="14">
        <f t="shared" si="0"/>
        <v>350</v>
      </c>
    </row>
    <row r="21" spans="1:5" x14ac:dyDescent="0.3">
      <c r="A21" s="3">
        <v>2001821995</v>
      </c>
      <c r="B21" s="4">
        <v>8904223818706</v>
      </c>
      <c r="C21" s="3">
        <v>1</v>
      </c>
      <c r="D21" s="14">
        <f>VLOOKUP(B21,SKU_Company!A:B,2,FALSE)</f>
        <v>127</v>
      </c>
      <c r="E21" s="14">
        <f t="shared" si="0"/>
        <v>127</v>
      </c>
    </row>
    <row r="22" spans="1:5" x14ac:dyDescent="0.3">
      <c r="A22" s="3">
        <v>2001821766</v>
      </c>
      <c r="B22" s="4">
        <v>8904223818591</v>
      </c>
      <c r="C22" s="3">
        <v>2</v>
      </c>
      <c r="D22" s="14">
        <f>VLOOKUP(B22,SKU_Company!A:B,2,FALSE)</f>
        <v>120</v>
      </c>
      <c r="E22" s="14">
        <f t="shared" si="0"/>
        <v>240</v>
      </c>
    </row>
    <row r="23" spans="1:5" x14ac:dyDescent="0.3">
      <c r="A23" s="3">
        <v>2001821750</v>
      </c>
      <c r="B23" s="4">
        <v>8904223818850</v>
      </c>
      <c r="C23" s="3">
        <v>1</v>
      </c>
      <c r="D23" s="14">
        <f>VLOOKUP(B23,SKU_Company!A:B,2,FALSE)</f>
        <v>240</v>
      </c>
      <c r="E23" s="14">
        <f t="shared" si="0"/>
        <v>240</v>
      </c>
    </row>
    <row r="24" spans="1:5" x14ac:dyDescent="0.3">
      <c r="A24" s="3">
        <v>2001821750</v>
      </c>
      <c r="B24" s="4">
        <v>8904223818430</v>
      </c>
      <c r="C24" s="3">
        <v>1</v>
      </c>
      <c r="D24" s="14">
        <f>VLOOKUP(B24,SKU_Company!A:B,2,FALSE)</f>
        <v>165</v>
      </c>
      <c r="E24" s="14">
        <f t="shared" si="0"/>
        <v>165</v>
      </c>
    </row>
    <row r="25" spans="1:5" x14ac:dyDescent="0.3">
      <c r="A25" s="3">
        <v>2001821750</v>
      </c>
      <c r="B25" s="4">
        <v>8904223819130</v>
      </c>
      <c r="C25" s="3">
        <v>1</v>
      </c>
      <c r="D25" s="14">
        <f>VLOOKUP(B25,SKU_Company!A:B,2,FALSE)</f>
        <v>350</v>
      </c>
      <c r="E25" s="14">
        <f t="shared" si="0"/>
        <v>350</v>
      </c>
    </row>
    <row r="26" spans="1:5" x14ac:dyDescent="0.3">
      <c r="A26" s="3">
        <v>2001821742</v>
      </c>
      <c r="B26" s="4">
        <v>8904223819468</v>
      </c>
      <c r="C26" s="3">
        <v>1</v>
      </c>
      <c r="D26" s="14">
        <f>VLOOKUP(B26,SKU_Company!A:B,2,FALSE)</f>
        <v>240</v>
      </c>
      <c r="E26" s="14">
        <f t="shared" si="0"/>
        <v>240</v>
      </c>
    </row>
    <row r="27" spans="1:5" x14ac:dyDescent="0.3">
      <c r="A27" s="3">
        <v>2001821679</v>
      </c>
      <c r="B27" s="4">
        <v>8904223818430</v>
      </c>
      <c r="C27" s="3">
        <v>1</v>
      </c>
      <c r="D27" s="14">
        <f>VLOOKUP(B27,SKU_Company!A:B,2,FALSE)</f>
        <v>165</v>
      </c>
      <c r="E27" s="14">
        <f t="shared" si="0"/>
        <v>165</v>
      </c>
    </row>
    <row r="28" spans="1:5" x14ac:dyDescent="0.3">
      <c r="A28" s="3">
        <v>2001821502</v>
      </c>
      <c r="B28" s="4">
        <v>8904223818980</v>
      </c>
      <c r="C28" s="3">
        <v>1</v>
      </c>
      <c r="D28" s="14">
        <f>VLOOKUP(B28,SKU_Company!A:B,2,FALSE)</f>
        <v>110</v>
      </c>
      <c r="E28" s="14">
        <f t="shared" si="0"/>
        <v>110</v>
      </c>
    </row>
    <row r="29" spans="1:5" x14ac:dyDescent="0.3">
      <c r="A29" s="3">
        <v>2001821502</v>
      </c>
      <c r="B29" s="4">
        <v>8904223819031</v>
      </c>
      <c r="C29" s="3">
        <v>2</v>
      </c>
      <c r="D29" s="14">
        <f>VLOOKUP(B29,SKU_Company!A:B,2,FALSE)</f>
        <v>112</v>
      </c>
      <c r="E29" s="14">
        <f t="shared" si="0"/>
        <v>224</v>
      </c>
    </row>
    <row r="30" spans="1:5" x14ac:dyDescent="0.3">
      <c r="A30" s="3">
        <v>2001821502</v>
      </c>
      <c r="B30" s="4">
        <v>8904223819024</v>
      </c>
      <c r="C30" s="3">
        <v>2</v>
      </c>
      <c r="D30" s="14">
        <f>VLOOKUP(B30,SKU_Company!A:B,2,FALSE)</f>
        <v>112</v>
      </c>
      <c r="E30" s="14">
        <f t="shared" si="0"/>
        <v>224</v>
      </c>
    </row>
    <row r="31" spans="1:5" x14ac:dyDescent="0.3">
      <c r="A31" s="3">
        <v>2001821284</v>
      </c>
      <c r="B31" s="4">
        <v>8904223818614</v>
      </c>
      <c r="C31" s="3">
        <v>1</v>
      </c>
      <c r="D31" s="14">
        <f>VLOOKUP(B31,SKU_Company!A:B,2,FALSE)</f>
        <v>65</v>
      </c>
      <c r="E31" s="14">
        <f t="shared" si="0"/>
        <v>65</v>
      </c>
    </row>
    <row r="32" spans="1:5" x14ac:dyDescent="0.3">
      <c r="A32" s="3">
        <v>2001821284</v>
      </c>
      <c r="B32" s="4">
        <v>8904223819024</v>
      </c>
      <c r="C32" s="3">
        <v>1</v>
      </c>
      <c r="D32" s="14">
        <f>VLOOKUP(B32,SKU_Company!A:B,2,FALSE)</f>
        <v>112</v>
      </c>
      <c r="E32" s="14">
        <f t="shared" si="0"/>
        <v>112</v>
      </c>
    </row>
    <row r="33" spans="1:5" x14ac:dyDescent="0.3">
      <c r="A33" s="3">
        <v>2001821190</v>
      </c>
      <c r="B33" s="4">
        <v>8904223819321</v>
      </c>
      <c r="C33" s="3">
        <v>1</v>
      </c>
      <c r="D33" s="14">
        <f>VLOOKUP(B33,SKU_Company!A:B,2,FALSE)</f>
        <v>600</v>
      </c>
      <c r="E33" s="14">
        <f t="shared" si="0"/>
        <v>600</v>
      </c>
    </row>
    <row r="34" spans="1:5" x14ac:dyDescent="0.3">
      <c r="A34" s="3">
        <v>2001821190</v>
      </c>
      <c r="B34" s="4">
        <v>8904223819338</v>
      </c>
      <c r="C34" s="3">
        <v>1</v>
      </c>
      <c r="D34" s="14">
        <f>VLOOKUP(B34,SKU_Company!A:B,2,FALSE)</f>
        <v>600</v>
      </c>
      <c r="E34" s="14">
        <f t="shared" si="0"/>
        <v>600</v>
      </c>
    </row>
    <row r="35" spans="1:5" x14ac:dyDescent="0.3">
      <c r="A35" s="3">
        <v>2001821185</v>
      </c>
      <c r="B35" s="4">
        <v>8904223818942</v>
      </c>
      <c r="C35" s="3">
        <v>2</v>
      </c>
      <c r="D35" s="14">
        <f>VLOOKUP(B35,SKU_Company!A:B,2,FALSE)</f>
        <v>133</v>
      </c>
      <c r="E35" s="14">
        <f t="shared" si="0"/>
        <v>266</v>
      </c>
    </row>
    <row r="36" spans="1:5" x14ac:dyDescent="0.3">
      <c r="A36" s="3">
        <v>2001821185</v>
      </c>
      <c r="B36" s="4">
        <v>8904223818683</v>
      </c>
      <c r="C36" s="3">
        <v>2</v>
      </c>
      <c r="D36" s="14">
        <f>VLOOKUP(B36,SKU_Company!A:B,2,FALSE)</f>
        <v>121</v>
      </c>
      <c r="E36" s="14">
        <f t="shared" si="0"/>
        <v>242</v>
      </c>
    </row>
    <row r="37" spans="1:5" x14ac:dyDescent="0.3">
      <c r="A37" s="3">
        <v>2001821185</v>
      </c>
      <c r="B37" s="4">
        <v>8904223819239</v>
      </c>
      <c r="C37" s="3">
        <v>1</v>
      </c>
      <c r="D37" s="14">
        <f>VLOOKUP(B37,SKU_Company!A:B,2,FALSE)</f>
        <v>290</v>
      </c>
      <c r="E37" s="14">
        <f t="shared" si="0"/>
        <v>290</v>
      </c>
    </row>
    <row r="38" spans="1:5" x14ac:dyDescent="0.3">
      <c r="A38" s="3">
        <v>2001821185</v>
      </c>
      <c r="B38" s="4">
        <v>8904223819246</v>
      </c>
      <c r="C38" s="3">
        <v>1</v>
      </c>
      <c r="D38" s="14">
        <f>VLOOKUP(B38,SKU_Company!A:B,2,FALSE)</f>
        <v>290</v>
      </c>
      <c r="E38" s="14">
        <f t="shared" si="0"/>
        <v>290</v>
      </c>
    </row>
    <row r="39" spans="1:5" x14ac:dyDescent="0.3">
      <c r="A39" s="3">
        <v>2001821185</v>
      </c>
      <c r="B39" s="4">
        <v>8904223819253</v>
      </c>
      <c r="C39" s="3">
        <v>1</v>
      </c>
      <c r="D39" s="14">
        <f>VLOOKUP(B39,SKU_Company!A:B,2,FALSE)</f>
        <v>290</v>
      </c>
      <c r="E39" s="14">
        <f t="shared" si="0"/>
        <v>290</v>
      </c>
    </row>
    <row r="40" spans="1:5" x14ac:dyDescent="0.3">
      <c r="A40" s="3">
        <v>2001821185</v>
      </c>
      <c r="B40" s="4">
        <v>8904223818669</v>
      </c>
      <c r="C40" s="3">
        <v>1</v>
      </c>
      <c r="D40" s="14">
        <f>VLOOKUP(B40,SKU_Company!A:B,2,FALSE)</f>
        <v>240</v>
      </c>
      <c r="E40" s="14">
        <f t="shared" si="0"/>
        <v>240</v>
      </c>
    </row>
    <row r="41" spans="1:5" x14ac:dyDescent="0.3">
      <c r="A41" s="3">
        <v>2001821185</v>
      </c>
      <c r="B41" s="4">
        <v>8904223819147</v>
      </c>
      <c r="C41" s="3">
        <v>1</v>
      </c>
      <c r="D41" s="14">
        <f>VLOOKUP(B41,SKU_Company!A:B,2,FALSE)</f>
        <v>240</v>
      </c>
      <c r="E41" s="14">
        <f t="shared" si="0"/>
        <v>240</v>
      </c>
    </row>
    <row r="42" spans="1:5" x14ac:dyDescent="0.3">
      <c r="A42" s="3">
        <v>2001821185</v>
      </c>
      <c r="B42" s="4">
        <v>8904223818850</v>
      </c>
      <c r="C42" s="3">
        <v>1</v>
      </c>
      <c r="D42" s="14">
        <f>VLOOKUP(B42,SKU_Company!A:B,2,FALSE)</f>
        <v>240</v>
      </c>
      <c r="E42" s="14">
        <f t="shared" si="0"/>
        <v>240</v>
      </c>
    </row>
    <row r="43" spans="1:5" x14ac:dyDescent="0.3">
      <c r="A43" s="3">
        <v>2001820978</v>
      </c>
      <c r="B43" s="4">
        <v>8904223815859</v>
      </c>
      <c r="C43" s="3">
        <v>1</v>
      </c>
      <c r="D43" s="14">
        <f>VLOOKUP(B43,SKU_Company!A:B,2,FALSE)</f>
        <v>165</v>
      </c>
      <c r="E43" s="14">
        <f t="shared" si="0"/>
        <v>165</v>
      </c>
    </row>
    <row r="44" spans="1:5" x14ac:dyDescent="0.3">
      <c r="A44" s="3">
        <v>2001820978</v>
      </c>
      <c r="B44" s="4">
        <v>8904223817501</v>
      </c>
      <c r="C44" s="3">
        <v>1</v>
      </c>
      <c r="D44" s="14">
        <f>VLOOKUP(B44,SKU_Company!A:B,2,FALSE)</f>
        <v>350</v>
      </c>
      <c r="E44" s="14">
        <f t="shared" si="0"/>
        <v>350</v>
      </c>
    </row>
    <row r="45" spans="1:5" x14ac:dyDescent="0.3">
      <c r="A45" s="3">
        <v>2001820690</v>
      </c>
      <c r="B45" s="4">
        <v>8904223817273</v>
      </c>
      <c r="C45" s="3">
        <v>1</v>
      </c>
      <c r="D45" s="14">
        <f>VLOOKUP(B45,SKU_Company!A:B,2,FALSE)</f>
        <v>65</v>
      </c>
      <c r="E45" s="14">
        <f t="shared" si="0"/>
        <v>65</v>
      </c>
    </row>
    <row r="46" spans="1:5" x14ac:dyDescent="0.3">
      <c r="A46" s="3">
        <v>2001819252</v>
      </c>
      <c r="B46" s="4">
        <v>8904223818942</v>
      </c>
      <c r="C46" s="3">
        <v>1</v>
      </c>
      <c r="D46" s="14">
        <f>VLOOKUP(B46,SKU_Company!A:B,2,FALSE)</f>
        <v>133</v>
      </c>
      <c r="E46" s="14">
        <f t="shared" si="0"/>
        <v>133</v>
      </c>
    </row>
    <row r="47" spans="1:5" x14ac:dyDescent="0.3">
      <c r="A47" s="3">
        <v>2001819252</v>
      </c>
      <c r="B47" s="4">
        <v>8904223818706</v>
      </c>
      <c r="C47" s="3">
        <v>1</v>
      </c>
      <c r="D47" s="14">
        <f>VLOOKUP(B47,SKU_Company!A:B,2,FALSE)</f>
        <v>127</v>
      </c>
      <c r="E47" s="14">
        <f t="shared" si="0"/>
        <v>127</v>
      </c>
    </row>
    <row r="48" spans="1:5" x14ac:dyDescent="0.3">
      <c r="A48" s="3">
        <v>2001819252</v>
      </c>
      <c r="B48" s="4" t="s">
        <v>39</v>
      </c>
      <c r="C48" s="3">
        <v>1</v>
      </c>
      <c r="D48" s="14">
        <f>VLOOKUP(B48,SKU_Company!A:B,2,FALSE)</f>
        <v>10</v>
      </c>
      <c r="E48" s="14">
        <f t="shared" si="0"/>
        <v>10</v>
      </c>
    </row>
    <row r="49" spans="1:5" x14ac:dyDescent="0.3">
      <c r="A49" s="3">
        <v>2001818390</v>
      </c>
      <c r="B49" s="4">
        <v>8904223819147</v>
      </c>
      <c r="C49" s="3">
        <v>1</v>
      </c>
      <c r="D49" s="14">
        <f>VLOOKUP(B49,SKU_Company!A:B,2,FALSE)</f>
        <v>240</v>
      </c>
      <c r="E49" s="14">
        <f t="shared" si="0"/>
        <v>240</v>
      </c>
    </row>
    <row r="50" spans="1:5" x14ac:dyDescent="0.3">
      <c r="A50" s="3">
        <v>2001818390</v>
      </c>
      <c r="B50" s="4">
        <v>8904223818935</v>
      </c>
      <c r="C50" s="3">
        <v>4</v>
      </c>
      <c r="D50" s="14">
        <f>VLOOKUP(B50,SKU_Company!A:B,2,FALSE)</f>
        <v>120</v>
      </c>
      <c r="E50" s="14">
        <f t="shared" si="0"/>
        <v>480</v>
      </c>
    </row>
    <row r="51" spans="1:5" x14ac:dyDescent="0.3">
      <c r="A51" s="3">
        <v>2001818390</v>
      </c>
      <c r="B51" s="4">
        <v>8904223818683</v>
      </c>
      <c r="C51" s="3">
        <v>1</v>
      </c>
      <c r="D51" s="14">
        <f>VLOOKUP(B51,SKU_Company!A:B,2,FALSE)</f>
        <v>121</v>
      </c>
      <c r="E51" s="14">
        <f t="shared" si="0"/>
        <v>121</v>
      </c>
    </row>
    <row r="52" spans="1:5" x14ac:dyDescent="0.3">
      <c r="A52" s="3">
        <v>2001817160</v>
      </c>
      <c r="B52" s="4">
        <v>8904223818478</v>
      </c>
      <c r="C52" s="3">
        <v>1</v>
      </c>
      <c r="D52" s="14">
        <f>VLOOKUP(B52,SKU_Company!A:B,2,FALSE)</f>
        <v>350</v>
      </c>
      <c r="E52" s="14">
        <f t="shared" si="0"/>
        <v>350</v>
      </c>
    </row>
    <row r="53" spans="1:5" x14ac:dyDescent="0.3">
      <c r="A53" s="3">
        <v>2001817160</v>
      </c>
      <c r="B53" s="4">
        <v>8904223819284</v>
      </c>
      <c r="C53" s="3">
        <v>1</v>
      </c>
      <c r="D53" s="14">
        <f>VLOOKUP(B53,SKU_Company!A:B,2,FALSE)</f>
        <v>350</v>
      </c>
      <c r="E53" s="14">
        <f t="shared" si="0"/>
        <v>350</v>
      </c>
    </row>
    <row r="54" spans="1:5" x14ac:dyDescent="0.3">
      <c r="A54" s="3">
        <v>2001817093</v>
      </c>
      <c r="B54" s="4">
        <v>8904223816214</v>
      </c>
      <c r="C54" s="3">
        <v>1</v>
      </c>
      <c r="D54" s="14">
        <f>VLOOKUP(B54,SKU_Company!A:B,2,FALSE)</f>
        <v>120</v>
      </c>
      <c r="E54" s="14">
        <f t="shared" si="0"/>
        <v>120</v>
      </c>
    </row>
    <row r="55" spans="1:5" x14ac:dyDescent="0.3">
      <c r="A55" s="3">
        <v>2001817093</v>
      </c>
      <c r="B55" s="4">
        <v>8904223818874</v>
      </c>
      <c r="C55" s="3">
        <v>1</v>
      </c>
      <c r="D55" s="14">
        <f>VLOOKUP(B55,SKU_Company!A:B,2,FALSE)</f>
        <v>100</v>
      </c>
      <c r="E55" s="14">
        <f t="shared" si="0"/>
        <v>100</v>
      </c>
    </row>
    <row r="56" spans="1:5" x14ac:dyDescent="0.3">
      <c r="A56" s="3">
        <v>2001817093</v>
      </c>
      <c r="B56" s="4">
        <v>8904223819512</v>
      </c>
      <c r="C56" s="3">
        <v>1</v>
      </c>
      <c r="D56" s="14">
        <f>VLOOKUP(B56,SKU_Company!A:B,2,FALSE)</f>
        <v>210</v>
      </c>
      <c r="E56" s="14">
        <f t="shared" si="0"/>
        <v>210</v>
      </c>
    </row>
    <row r="57" spans="1:5" x14ac:dyDescent="0.3">
      <c r="A57" s="3">
        <v>2001817093</v>
      </c>
      <c r="B57" s="4">
        <v>8904223818881</v>
      </c>
      <c r="C57" s="3">
        <v>1</v>
      </c>
      <c r="D57" s="14">
        <f>VLOOKUP(B57,SKU_Company!A:B,2,FALSE)</f>
        <v>140</v>
      </c>
      <c r="E57" s="14">
        <f t="shared" si="0"/>
        <v>140</v>
      </c>
    </row>
    <row r="58" spans="1:5" x14ac:dyDescent="0.3">
      <c r="A58" s="3">
        <v>2001817093</v>
      </c>
      <c r="B58" s="4">
        <v>8904223819291</v>
      </c>
      <c r="C58" s="3">
        <v>2</v>
      </c>
      <c r="D58" s="14">
        <f>VLOOKUP(B58,SKU_Company!A:B,2,FALSE)</f>
        <v>112</v>
      </c>
      <c r="E58" s="14">
        <f t="shared" si="0"/>
        <v>224</v>
      </c>
    </row>
    <row r="59" spans="1:5" x14ac:dyDescent="0.3">
      <c r="A59" s="3">
        <v>2001817093</v>
      </c>
      <c r="B59" s="4">
        <v>8904223819031</v>
      </c>
      <c r="C59" s="3">
        <v>2</v>
      </c>
      <c r="D59" s="14">
        <f>VLOOKUP(B59,SKU_Company!A:B,2,FALSE)</f>
        <v>112</v>
      </c>
      <c r="E59" s="14">
        <f t="shared" si="0"/>
        <v>224</v>
      </c>
    </row>
    <row r="60" spans="1:5" x14ac:dyDescent="0.3">
      <c r="A60" s="3">
        <v>2001817093</v>
      </c>
      <c r="B60" s="4">
        <v>8904223819024</v>
      </c>
      <c r="C60" s="3">
        <v>2</v>
      </c>
      <c r="D60" s="14">
        <f>VLOOKUP(B60,SKU_Company!A:B,2,FALSE)</f>
        <v>112</v>
      </c>
      <c r="E60" s="14">
        <f t="shared" si="0"/>
        <v>224</v>
      </c>
    </row>
    <row r="61" spans="1:5" x14ac:dyDescent="0.3">
      <c r="A61" s="3">
        <v>2001817093</v>
      </c>
      <c r="B61" s="4">
        <v>8904223818553</v>
      </c>
      <c r="C61" s="3">
        <v>1</v>
      </c>
      <c r="D61" s="14">
        <f>VLOOKUP(B61,SKU_Company!A:B,2,FALSE)</f>
        <v>115</v>
      </c>
      <c r="E61" s="14">
        <f t="shared" si="0"/>
        <v>115</v>
      </c>
    </row>
    <row r="62" spans="1:5" x14ac:dyDescent="0.3">
      <c r="A62" s="3">
        <v>2001816996</v>
      </c>
      <c r="B62" s="4">
        <v>8904223818706</v>
      </c>
      <c r="C62" s="3">
        <v>1</v>
      </c>
      <c r="D62" s="14">
        <f>VLOOKUP(B62,SKU_Company!A:B,2,FALSE)</f>
        <v>127</v>
      </c>
      <c r="E62" s="14">
        <f t="shared" si="0"/>
        <v>127</v>
      </c>
    </row>
    <row r="63" spans="1:5" x14ac:dyDescent="0.3">
      <c r="A63" s="3">
        <v>2001816996</v>
      </c>
      <c r="B63" s="4">
        <v>8904223818942</v>
      </c>
      <c r="C63" s="3">
        <v>1</v>
      </c>
      <c r="D63" s="14">
        <f>VLOOKUP(B63,SKU_Company!A:B,2,FALSE)</f>
        <v>133</v>
      </c>
      <c r="E63" s="14">
        <f t="shared" si="0"/>
        <v>133</v>
      </c>
    </row>
    <row r="64" spans="1:5" x14ac:dyDescent="0.3">
      <c r="A64" s="3">
        <v>2001816996</v>
      </c>
      <c r="B64" s="4">
        <v>8904223818850</v>
      </c>
      <c r="C64" s="3">
        <v>1</v>
      </c>
      <c r="D64" s="14">
        <f>VLOOKUP(B64,SKU_Company!A:B,2,FALSE)</f>
        <v>240</v>
      </c>
      <c r="E64" s="14">
        <f t="shared" si="0"/>
        <v>240</v>
      </c>
    </row>
    <row r="65" spans="1:5" x14ac:dyDescent="0.3">
      <c r="A65" s="3">
        <v>2001816684</v>
      </c>
      <c r="B65" s="4">
        <v>8904223816214</v>
      </c>
      <c r="C65" s="3">
        <v>2</v>
      </c>
      <c r="D65" s="14">
        <f>VLOOKUP(B65,SKU_Company!A:B,2,FALSE)</f>
        <v>120</v>
      </c>
      <c r="E65" s="14">
        <f t="shared" si="0"/>
        <v>240</v>
      </c>
    </row>
    <row r="66" spans="1:5" x14ac:dyDescent="0.3">
      <c r="A66" s="3">
        <v>2001816684</v>
      </c>
      <c r="B66" s="4">
        <v>8904223818874</v>
      </c>
      <c r="C66" s="3">
        <v>2</v>
      </c>
      <c r="D66" s="14">
        <f>VLOOKUP(B66,SKU_Company!A:B,2,FALSE)</f>
        <v>100</v>
      </c>
      <c r="E66" s="14">
        <f t="shared" si="0"/>
        <v>200</v>
      </c>
    </row>
    <row r="67" spans="1:5" x14ac:dyDescent="0.3">
      <c r="A67" s="3">
        <v>2001816684</v>
      </c>
      <c r="B67" s="4">
        <v>8904223818935</v>
      </c>
      <c r="C67" s="3">
        <v>4</v>
      </c>
      <c r="D67" s="14">
        <f>VLOOKUP(B67,SKU_Company!A:B,2,FALSE)</f>
        <v>120</v>
      </c>
      <c r="E67" s="14">
        <f t="shared" ref="E67:E130" si="1">D67*C67</f>
        <v>480</v>
      </c>
    </row>
    <row r="68" spans="1:5" x14ac:dyDescent="0.3">
      <c r="A68" s="3">
        <v>2001816131</v>
      </c>
      <c r="B68" s="4">
        <v>8904223816665</v>
      </c>
      <c r="C68" s="3">
        <v>2</v>
      </c>
      <c r="D68" s="14">
        <f>VLOOKUP(B68,SKU_Company!A:B,2,FALSE)</f>
        <v>102</v>
      </c>
      <c r="E68" s="14">
        <f t="shared" si="1"/>
        <v>204</v>
      </c>
    </row>
    <row r="69" spans="1:5" x14ac:dyDescent="0.3">
      <c r="A69" s="3">
        <v>2001816131</v>
      </c>
      <c r="B69" s="4">
        <v>8904223819277</v>
      </c>
      <c r="C69" s="3">
        <v>1</v>
      </c>
      <c r="D69" s="14">
        <f>VLOOKUP(B69,SKU_Company!A:B,2,FALSE)</f>
        <v>350</v>
      </c>
      <c r="E69" s="14">
        <f t="shared" si="1"/>
        <v>350</v>
      </c>
    </row>
    <row r="70" spans="1:5" x14ac:dyDescent="0.3">
      <c r="A70" s="3">
        <v>2001815688</v>
      </c>
      <c r="B70" s="4">
        <v>8904223816214</v>
      </c>
      <c r="C70" s="3">
        <v>1</v>
      </c>
      <c r="D70" s="14">
        <f>VLOOKUP(B70,SKU_Company!A:B,2,FALSE)</f>
        <v>120</v>
      </c>
      <c r="E70" s="14">
        <f t="shared" si="1"/>
        <v>120</v>
      </c>
    </row>
    <row r="71" spans="1:5" x14ac:dyDescent="0.3">
      <c r="A71" s="3">
        <v>2001815688</v>
      </c>
      <c r="B71" s="4">
        <v>8904223818874</v>
      </c>
      <c r="C71" s="3">
        <v>1</v>
      </c>
      <c r="D71" s="14">
        <f>VLOOKUP(B71,SKU_Company!A:B,2,FALSE)</f>
        <v>100</v>
      </c>
      <c r="E71" s="14">
        <f t="shared" si="1"/>
        <v>100</v>
      </c>
    </row>
    <row r="72" spans="1:5" x14ac:dyDescent="0.3">
      <c r="A72" s="3">
        <v>2001814580</v>
      </c>
      <c r="B72" s="4">
        <v>8904223818706</v>
      </c>
      <c r="C72" s="3">
        <v>1</v>
      </c>
      <c r="D72" s="14">
        <f>VLOOKUP(B72,SKU_Company!A:B,2,FALSE)</f>
        <v>127</v>
      </c>
      <c r="E72" s="14">
        <f t="shared" si="1"/>
        <v>127</v>
      </c>
    </row>
    <row r="73" spans="1:5" x14ac:dyDescent="0.3">
      <c r="A73" s="3">
        <v>2001813009</v>
      </c>
      <c r="B73" s="4">
        <v>8904223816214</v>
      </c>
      <c r="C73" s="3">
        <v>1</v>
      </c>
      <c r="D73" s="14">
        <f>VLOOKUP(B73,SKU_Company!A:B,2,FALSE)</f>
        <v>120</v>
      </c>
      <c r="E73" s="14">
        <f t="shared" si="1"/>
        <v>120</v>
      </c>
    </row>
    <row r="74" spans="1:5" x14ac:dyDescent="0.3">
      <c r="A74" s="3">
        <v>2001813009</v>
      </c>
      <c r="B74" s="4">
        <v>8904223818874</v>
      </c>
      <c r="C74" s="3">
        <v>1</v>
      </c>
      <c r="D74" s="14">
        <f>VLOOKUP(B74,SKU_Company!A:B,2,FALSE)</f>
        <v>100</v>
      </c>
      <c r="E74" s="14">
        <f t="shared" si="1"/>
        <v>100</v>
      </c>
    </row>
    <row r="75" spans="1:5" x14ac:dyDescent="0.3">
      <c r="A75" s="3">
        <v>2001813009</v>
      </c>
      <c r="B75" s="4">
        <v>8904223818706</v>
      </c>
      <c r="C75" s="3">
        <v>1</v>
      </c>
      <c r="D75" s="14">
        <f>VLOOKUP(B75,SKU_Company!A:B,2,FALSE)</f>
        <v>127</v>
      </c>
      <c r="E75" s="14">
        <f t="shared" si="1"/>
        <v>127</v>
      </c>
    </row>
    <row r="76" spans="1:5" x14ac:dyDescent="0.3">
      <c r="A76" s="3">
        <v>2001813009</v>
      </c>
      <c r="B76" s="4">
        <v>8904223818942</v>
      </c>
      <c r="C76" s="3">
        <v>1</v>
      </c>
      <c r="D76" s="14">
        <f>VLOOKUP(B76,SKU_Company!A:B,2,FALSE)</f>
        <v>133</v>
      </c>
      <c r="E76" s="14">
        <f t="shared" si="1"/>
        <v>133</v>
      </c>
    </row>
    <row r="77" spans="1:5" x14ac:dyDescent="0.3">
      <c r="A77" s="3">
        <v>2001813009</v>
      </c>
      <c r="B77" s="4">
        <v>8904223818850</v>
      </c>
      <c r="C77" s="3">
        <v>1</v>
      </c>
      <c r="D77" s="14">
        <f>VLOOKUP(B77,SKU_Company!A:B,2,FALSE)</f>
        <v>240</v>
      </c>
      <c r="E77" s="14">
        <f t="shared" si="1"/>
        <v>240</v>
      </c>
    </row>
    <row r="78" spans="1:5" x14ac:dyDescent="0.3">
      <c r="A78" s="3">
        <v>2001812941</v>
      </c>
      <c r="B78" s="4">
        <v>8904223818706</v>
      </c>
      <c r="C78" s="3">
        <v>1</v>
      </c>
      <c r="D78" s="14">
        <f>VLOOKUP(B78,SKU_Company!A:B,2,FALSE)</f>
        <v>127</v>
      </c>
      <c r="E78" s="14">
        <f t="shared" si="1"/>
        <v>127</v>
      </c>
    </row>
    <row r="79" spans="1:5" x14ac:dyDescent="0.3">
      <c r="A79" s="3">
        <v>2001812941</v>
      </c>
      <c r="B79" s="4">
        <v>8904223818942</v>
      </c>
      <c r="C79" s="3">
        <v>1</v>
      </c>
      <c r="D79" s="14">
        <f>VLOOKUP(B79,SKU_Company!A:B,2,FALSE)</f>
        <v>133</v>
      </c>
      <c r="E79" s="14">
        <f t="shared" si="1"/>
        <v>133</v>
      </c>
    </row>
    <row r="80" spans="1:5" x14ac:dyDescent="0.3">
      <c r="A80" s="3">
        <v>2001812941</v>
      </c>
      <c r="B80" s="4">
        <v>8904223818850</v>
      </c>
      <c r="C80" s="3">
        <v>1</v>
      </c>
      <c r="D80" s="14">
        <f>VLOOKUP(B80,SKU_Company!A:B,2,FALSE)</f>
        <v>240</v>
      </c>
      <c r="E80" s="14">
        <f t="shared" si="1"/>
        <v>240</v>
      </c>
    </row>
    <row r="81" spans="1:5" x14ac:dyDescent="0.3">
      <c r="A81" s="3">
        <v>2001812854</v>
      </c>
      <c r="B81" s="4">
        <v>8904223818478</v>
      </c>
      <c r="C81" s="3">
        <v>1</v>
      </c>
      <c r="D81" s="14">
        <f>VLOOKUP(B81,SKU_Company!A:B,2,FALSE)</f>
        <v>350</v>
      </c>
      <c r="E81" s="14">
        <f t="shared" si="1"/>
        <v>350</v>
      </c>
    </row>
    <row r="82" spans="1:5" x14ac:dyDescent="0.3">
      <c r="A82" s="3">
        <v>2001812854</v>
      </c>
      <c r="B82" s="4">
        <v>8904223819130</v>
      </c>
      <c r="C82" s="3">
        <v>1</v>
      </c>
      <c r="D82" s="14">
        <f>VLOOKUP(B82,SKU_Company!A:B,2,FALSE)</f>
        <v>350</v>
      </c>
      <c r="E82" s="14">
        <f t="shared" si="1"/>
        <v>350</v>
      </c>
    </row>
    <row r="83" spans="1:5" x14ac:dyDescent="0.3">
      <c r="A83" s="3">
        <v>2001812854</v>
      </c>
      <c r="B83" s="4">
        <v>8904223819277</v>
      </c>
      <c r="C83" s="3">
        <v>1</v>
      </c>
      <c r="D83" s="14">
        <f>VLOOKUP(B83,SKU_Company!A:B,2,FALSE)</f>
        <v>350</v>
      </c>
      <c r="E83" s="14">
        <f t="shared" si="1"/>
        <v>350</v>
      </c>
    </row>
    <row r="84" spans="1:5" x14ac:dyDescent="0.3">
      <c r="A84" s="3">
        <v>2001812854</v>
      </c>
      <c r="B84" s="4">
        <v>8904223819284</v>
      </c>
      <c r="C84" s="3">
        <v>1</v>
      </c>
      <c r="D84" s="14">
        <f>VLOOKUP(B84,SKU_Company!A:B,2,FALSE)</f>
        <v>350</v>
      </c>
      <c r="E84" s="14">
        <f t="shared" si="1"/>
        <v>350</v>
      </c>
    </row>
    <row r="85" spans="1:5" x14ac:dyDescent="0.3">
      <c r="A85" s="3">
        <v>2001812854</v>
      </c>
      <c r="B85" s="4" t="s">
        <v>38</v>
      </c>
      <c r="C85" s="3">
        <v>1</v>
      </c>
      <c r="D85" s="14">
        <f>VLOOKUP(B85,SKU_Company!A:B,2,FALSE)</f>
        <v>500</v>
      </c>
      <c r="E85" s="14">
        <f t="shared" si="1"/>
        <v>500</v>
      </c>
    </row>
    <row r="86" spans="1:5" x14ac:dyDescent="0.3">
      <c r="A86" s="3">
        <v>2001812854</v>
      </c>
      <c r="B86" s="4">
        <v>8904223819291</v>
      </c>
      <c r="C86" s="3">
        <v>2</v>
      </c>
      <c r="D86" s="14">
        <f>VLOOKUP(B86,SKU_Company!A:B,2,FALSE)</f>
        <v>112</v>
      </c>
      <c r="E86" s="14">
        <f t="shared" si="1"/>
        <v>224</v>
      </c>
    </row>
    <row r="87" spans="1:5" x14ac:dyDescent="0.3">
      <c r="A87" s="3">
        <v>2001812854</v>
      </c>
      <c r="B87" s="4">
        <v>8904223819031</v>
      </c>
      <c r="C87" s="3">
        <v>2</v>
      </c>
      <c r="D87" s="14">
        <f>VLOOKUP(B87,SKU_Company!A:B,2,FALSE)</f>
        <v>112</v>
      </c>
      <c r="E87" s="14">
        <f t="shared" si="1"/>
        <v>224</v>
      </c>
    </row>
    <row r="88" spans="1:5" x14ac:dyDescent="0.3">
      <c r="A88" s="3">
        <v>2001812854</v>
      </c>
      <c r="B88" s="4">
        <v>8904223819024</v>
      </c>
      <c r="C88" s="3">
        <v>2</v>
      </c>
      <c r="D88" s="14">
        <f>VLOOKUP(B88,SKU_Company!A:B,2,FALSE)</f>
        <v>112</v>
      </c>
      <c r="E88" s="14">
        <f t="shared" si="1"/>
        <v>224</v>
      </c>
    </row>
    <row r="89" spans="1:5" x14ac:dyDescent="0.3">
      <c r="A89" s="3">
        <v>2001812838</v>
      </c>
      <c r="B89" s="4">
        <v>8904223818980</v>
      </c>
      <c r="C89" s="3">
        <v>1</v>
      </c>
      <c r="D89" s="14">
        <f>VLOOKUP(B89,SKU_Company!A:B,2,FALSE)</f>
        <v>110</v>
      </c>
      <c r="E89" s="14">
        <f t="shared" si="1"/>
        <v>110</v>
      </c>
    </row>
    <row r="90" spans="1:5" x14ac:dyDescent="0.3">
      <c r="A90" s="3">
        <v>2001812838</v>
      </c>
      <c r="B90" s="4">
        <v>8904223819031</v>
      </c>
      <c r="C90" s="3">
        <v>4</v>
      </c>
      <c r="D90" s="14">
        <f>VLOOKUP(B90,SKU_Company!A:B,2,FALSE)</f>
        <v>112</v>
      </c>
      <c r="E90" s="14">
        <f t="shared" si="1"/>
        <v>448</v>
      </c>
    </row>
    <row r="91" spans="1:5" x14ac:dyDescent="0.3">
      <c r="A91" s="3">
        <v>2001812650</v>
      </c>
      <c r="B91" s="4">
        <v>8904223819031</v>
      </c>
      <c r="C91" s="3">
        <v>4</v>
      </c>
      <c r="D91" s="14">
        <f>VLOOKUP(B91,SKU_Company!A:B,2,FALSE)</f>
        <v>112</v>
      </c>
      <c r="E91" s="14">
        <f t="shared" si="1"/>
        <v>448</v>
      </c>
    </row>
    <row r="92" spans="1:5" x14ac:dyDescent="0.3">
      <c r="A92" s="3">
        <v>2001812650</v>
      </c>
      <c r="B92" s="4">
        <v>8904223819017</v>
      </c>
      <c r="C92" s="3">
        <v>1</v>
      </c>
      <c r="D92" s="14">
        <f>VLOOKUP(B92,SKU_Company!A:B,2,FALSE)</f>
        <v>115</v>
      </c>
      <c r="E92" s="14">
        <f t="shared" si="1"/>
        <v>115</v>
      </c>
    </row>
    <row r="93" spans="1:5" x14ac:dyDescent="0.3">
      <c r="A93" s="3">
        <v>2001812195</v>
      </c>
      <c r="B93" s="4">
        <v>8904223818706</v>
      </c>
      <c r="C93" s="3">
        <v>1</v>
      </c>
      <c r="D93" s="14">
        <f>VLOOKUP(B93,SKU_Company!A:B,2,FALSE)</f>
        <v>127</v>
      </c>
      <c r="E93" s="14">
        <f t="shared" si="1"/>
        <v>127</v>
      </c>
    </row>
    <row r="94" spans="1:5" x14ac:dyDescent="0.3">
      <c r="A94" s="3">
        <v>2001812195</v>
      </c>
      <c r="B94" s="4">
        <v>8904223818942</v>
      </c>
      <c r="C94" s="3">
        <v>1</v>
      </c>
      <c r="D94" s="14">
        <f>VLOOKUP(B94,SKU_Company!A:B,2,FALSE)</f>
        <v>133</v>
      </c>
      <c r="E94" s="14">
        <f t="shared" si="1"/>
        <v>133</v>
      </c>
    </row>
    <row r="95" spans="1:5" x14ac:dyDescent="0.3">
      <c r="A95" s="3">
        <v>2001812195</v>
      </c>
      <c r="B95" s="4">
        <v>8904223818850</v>
      </c>
      <c r="C95" s="3">
        <v>1</v>
      </c>
      <c r="D95" s="14">
        <f>VLOOKUP(B95,SKU_Company!A:B,2,FALSE)</f>
        <v>240</v>
      </c>
      <c r="E95" s="14">
        <f t="shared" si="1"/>
        <v>240</v>
      </c>
    </row>
    <row r="96" spans="1:5" x14ac:dyDescent="0.3">
      <c r="A96" s="3">
        <v>2001811809</v>
      </c>
      <c r="B96" s="4">
        <v>8904223818706</v>
      </c>
      <c r="C96" s="3">
        <v>1</v>
      </c>
      <c r="D96" s="14">
        <f>VLOOKUP(B96,SKU_Company!A:B,2,FALSE)</f>
        <v>127</v>
      </c>
      <c r="E96" s="14">
        <f t="shared" si="1"/>
        <v>127</v>
      </c>
    </row>
    <row r="97" spans="1:5" x14ac:dyDescent="0.3">
      <c r="A97" s="3">
        <v>2001811809</v>
      </c>
      <c r="B97" s="4">
        <v>8904223818942</v>
      </c>
      <c r="C97" s="3">
        <v>1</v>
      </c>
      <c r="D97" s="14">
        <f>VLOOKUP(B97,SKU_Company!A:B,2,FALSE)</f>
        <v>133</v>
      </c>
      <c r="E97" s="14">
        <f t="shared" si="1"/>
        <v>133</v>
      </c>
    </row>
    <row r="98" spans="1:5" x14ac:dyDescent="0.3">
      <c r="A98" s="3">
        <v>2001811809</v>
      </c>
      <c r="B98" s="4">
        <v>8904223818850</v>
      </c>
      <c r="C98" s="3">
        <v>1</v>
      </c>
      <c r="D98" s="14">
        <f>VLOOKUP(B98,SKU_Company!A:B,2,FALSE)</f>
        <v>240</v>
      </c>
      <c r="E98" s="14">
        <f t="shared" si="1"/>
        <v>240</v>
      </c>
    </row>
    <row r="99" spans="1:5" x14ac:dyDescent="0.3">
      <c r="A99" s="3">
        <v>2001811604</v>
      </c>
      <c r="B99" s="4">
        <v>8904223816214</v>
      </c>
      <c r="C99" s="3">
        <v>1</v>
      </c>
      <c r="D99" s="14">
        <f>VLOOKUP(B99,SKU_Company!A:B,2,FALSE)</f>
        <v>120</v>
      </c>
      <c r="E99" s="14">
        <f t="shared" si="1"/>
        <v>120</v>
      </c>
    </row>
    <row r="100" spans="1:5" x14ac:dyDescent="0.3">
      <c r="A100" s="3">
        <v>2001811604</v>
      </c>
      <c r="B100" s="4">
        <v>8904223818669</v>
      </c>
      <c r="C100" s="3">
        <v>2</v>
      </c>
      <c r="D100" s="14">
        <f>VLOOKUP(B100,SKU_Company!A:B,2,FALSE)</f>
        <v>240</v>
      </c>
      <c r="E100" s="14">
        <f t="shared" si="1"/>
        <v>480</v>
      </c>
    </row>
    <row r="101" spans="1:5" x14ac:dyDescent="0.3">
      <c r="A101" s="3">
        <v>2001811604</v>
      </c>
      <c r="B101" s="4">
        <v>8904223818683</v>
      </c>
      <c r="C101" s="3">
        <v>1</v>
      </c>
      <c r="D101" s="14">
        <f>VLOOKUP(B101,SKU_Company!A:B,2,FALSE)</f>
        <v>121</v>
      </c>
      <c r="E101" s="14">
        <f t="shared" si="1"/>
        <v>121</v>
      </c>
    </row>
    <row r="102" spans="1:5" x14ac:dyDescent="0.3">
      <c r="A102" s="3">
        <v>2001811475</v>
      </c>
      <c r="B102" s="4">
        <v>8904223818706</v>
      </c>
      <c r="C102" s="3">
        <v>1</v>
      </c>
      <c r="D102" s="14">
        <f>VLOOKUP(B102,SKU_Company!A:B,2,FALSE)</f>
        <v>127</v>
      </c>
      <c r="E102" s="14">
        <f t="shared" si="1"/>
        <v>127</v>
      </c>
    </row>
    <row r="103" spans="1:5" x14ac:dyDescent="0.3">
      <c r="A103" s="3">
        <v>2001811475</v>
      </c>
      <c r="B103" s="4">
        <v>8904223818669</v>
      </c>
      <c r="C103" s="3">
        <v>1</v>
      </c>
      <c r="D103" s="14">
        <f>VLOOKUP(B103,SKU_Company!A:B,2,FALSE)</f>
        <v>240</v>
      </c>
      <c r="E103" s="14">
        <f t="shared" si="1"/>
        <v>240</v>
      </c>
    </row>
    <row r="104" spans="1:5" x14ac:dyDescent="0.3">
      <c r="A104" s="3">
        <v>2001811475</v>
      </c>
      <c r="B104" s="4">
        <v>8904223819499</v>
      </c>
      <c r="C104" s="3">
        <v>1</v>
      </c>
      <c r="D104" s="14">
        <f>VLOOKUP(B104,SKU_Company!A:B,2,FALSE)</f>
        <v>210</v>
      </c>
      <c r="E104" s="14">
        <f t="shared" si="1"/>
        <v>210</v>
      </c>
    </row>
    <row r="105" spans="1:5" x14ac:dyDescent="0.3">
      <c r="A105" s="3">
        <v>2001811475</v>
      </c>
      <c r="B105" s="4">
        <v>8904223819031</v>
      </c>
      <c r="C105" s="3">
        <v>1</v>
      </c>
      <c r="D105" s="14">
        <f>VLOOKUP(B105,SKU_Company!A:B,2,FALSE)</f>
        <v>112</v>
      </c>
      <c r="E105" s="14">
        <f t="shared" si="1"/>
        <v>112</v>
      </c>
    </row>
    <row r="106" spans="1:5" x14ac:dyDescent="0.3">
      <c r="A106" s="3">
        <v>2001811466</v>
      </c>
      <c r="B106" s="4">
        <v>8904223818706</v>
      </c>
      <c r="C106" s="3">
        <v>1</v>
      </c>
      <c r="D106" s="14">
        <f>VLOOKUP(B106,SKU_Company!A:B,2,FALSE)</f>
        <v>127</v>
      </c>
      <c r="E106" s="14">
        <f t="shared" si="1"/>
        <v>127</v>
      </c>
    </row>
    <row r="107" spans="1:5" x14ac:dyDescent="0.3">
      <c r="A107" s="3">
        <v>2001811466</v>
      </c>
      <c r="B107" s="4">
        <v>8904223818850</v>
      </c>
      <c r="C107" s="3">
        <v>1</v>
      </c>
      <c r="D107" s="14">
        <f>VLOOKUP(B107,SKU_Company!A:B,2,FALSE)</f>
        <v>240</v>
      </c>
      <c r="E107" s="14">
        <f t="shared" si="1"/>
        <v>240</v>
      </c>
    </row>
    <row r="108" spans="1:5" x14ac:dyDescent="0.3">
      <c r="A108" s="3">
        <v>2001811466</v>
      </c>
      <c r="B108" s="4">
        <v>8904223819468</v>
      </c>
      <c r="C108" s="3">
        <v>1</v>
      </c>
      <c r="D108" s="14">
        <f>VLOOKUP(B108,SKU_Company!A:B,2,FALSE)</f>
        <v>240</v>
      </c>
      <c r="E108" s="14">
        <f t="shared" si="1"/>
        <v>240</v>
      </c>
    </row>
    <row r="109" spans="1:5" x14ac:dyDescent="0.3">
      <c r="A109" s="3">
        <v>2001811363</v>
      </c>
      <c r="B109" s="4">
        <v>8904223815859</v>
      </c>
      <c r="C109" s="3">
        <v>1</v>
      </c>
      <c r="D109" s="14">
        <f>VLOOKUP(B109,SKU_Company!A:B,2,FALSE)</f>
        <v>165</v>
      </c>
      <c r="E109" s="14">
        <f t="shared" si="1"/>
        <v>165</v>
      </c>
    </row>
    <row r="110" spans="1:5" x14ac:dyDescent="0.3">
      <c r="A110" s="3">
        <v>2001811363</v>
      </c>
      <c r="B110" s="4">
        <v>8904223818751</v>
      </c>
      <c r="C110" s="3">
        <v>1</v>
      </c>
      <c r="D110" s="14">
        <f>VLOOKUP(B110,SKU_Company!A:B,2,FALSE)</f>
        <v>113</v>
      </c>
      <c r="E110" s="14">
        <f t="shared" si="1"/>
        <v>113</v>
      </c>
    </row>
    <row r="111" spans="1:5" x14ac:dyDescent="0.3">
      <c r="A111" s="3">
        <v>2001811363</v>
      </c>
      <c r="B111" s="4">
        <v>8904223815873</v>
      </c>
      <c r="C111" s="3">
        <v>1</v>
      </c>
      <c r="D111" s="14">
        <f>VLOOKUP(B111,SKU_Company!A:B,2,FALSE)</f>
        <v>65</v>
      </c>
      <c r="E111" s="14">
        <f t="shared" si="1"/>
        <v>65</v>
      </c>
    </row>
    <row r="112" spans="1:5" x14ac:dyDescent="0.3">
      <c r="A112" s="3">
        <v>2001811363</v>
      </c>
      <c r="B112" s="4">
        <v>8904223815859</v>
      </c>
      <c r="C112" s="3">
        <v>1</v>
      </c>
      <c r="D112" s="14">
        <f>VLOOKUP(B112,SKU_Company!A:B,2,FALSE)</f>
        <v>165</v>
      </c>
      <c r="E112" s="14">
        <f t="shared" si="1"/>
        <v>165</v>
      </c>
    </row>
    <row r="113" spans="1:5" x14ac:dyDescent="0.3">
      <c r="A113" s="3">
        <v>2001811306</v>
      </c>
      <c r="B113" s="4">
        <v>8904223819352</v>
      </c>
      <c r="C113" s="3">
        <v>1</v>
      </c>
      <c r="D113" s="14">
        <f>VLOOKUP(B113,SKU_Company!A:B,2,FALSE)</f>
        <v>165</v>
      </c>
      <c r="E113" s="14">
        <f t="shared" si="1"/>
        <v>165</v>
      </c>
    </row>
    <row r="114" spans="1:5" x14ac:dyDescent="0.3">
      <c r="A114" s="3">
        <v>2001811306</v>
      </c>
      <c r="B114" s="4">
        <v>8904223819543</v>
      </c>
      <c r="C114" s="3">
        <v>1</v>
      </c>
      <c r="D114" s="14">
        <f>VLOOKUP(B114,SKU_Company!A:B,2,FALSE)</f>
        <v>300</v>
      </c>
      <c r="E114" s="14">
        <f t="shared" si="1"/>
        <v>300</v>
      </c>
    </row>
    <row r="115" spans="1:5" x14ac:dyDescent="0.3">
      <c r="A115" s="3">
        <v>2001811306</v>
      </c>
      <c r="B115" s="4">
        <v>8904223819147</v>
      </c>
      <c r="C115" s="3">
        <v>1</v>
      </c>
      <c r="D115" s="14">
        <f>VLOOKUP(B115,SKU_Company!A:B,2,FALSE)</f>
        <v>240</v>
      </c>
      <c r="E115" s="14">
        <f t="shared" si="1"/>
        <v>240</v>
      </c>
    </row>
    <row r="116" spans="1:5" x14ac:dyDescent="0.3">
      <c r="A116" s="3">
        <v>2001811306</v>
      </c>
      <c r="B116" s="4">
        <v>8904223819468</v>
      </c>
      <c r="C116" s="3">
        <v>1</v>
      </c>
      <c r="D116" s="14">
        <f>VLOOKUP(B116,SKU_Company!A:B,2,FALSE)</f>
        <v>240</v>
      </c>
      <c r="E116" s="14">
        <f t="shared" si="1"/>
        <v>240</v>
      </c>
    </row>
    <row r="117" spans="1:5" x14ac:dyDescent="0.3">
      <c r="A117" s="3">
        <v>2001811305</v>
      </c>
      <c r="B117" s="4">
        <v>8904223816214</v>
      </c>
      <c r="C117" s="3">
        <v>1</v>
      </c>
      <c r="D117" s="14">
        <f>VLOOKUP(B117,SKU_Company!A:B,2,FALSE)</f>
        <v>120</v>
      </c>
      <c r="E117" s="14">
        <f t="shared" si="1"/>
        <v>120</v>
      </c>
    </row>
    <row r="118" spans="1:5" x14ac:dyDescent="0.3">
      <c r="A118" s="3">
        <v>2001811305</v>
      </c>
      <c r="B118" s="4">
        <v>8904223819499</v>
      </c>
      <c r="C118" s="3">
        <v>1</v>
      </c>
      <c r="D118" s="14">
        <f>VLOOKUP(B118,SKU_Company!A:B,2,FALSE)</f>
        <v>210</v>
      </c>
      <c r="E118" s="14">
        <f t="shared" si="1"/>
        <v>210</v>
      </c>
    </row>
    <row r="119" spans="1:5" x14ac:dyDescent="0.3">
      <c r="A119" s="3">
        <v>2001811305</v>
      </c>
      <c r="B119" s="4">
        <v>8904223819505</v>
      </c>
      <c r="C119" s="3">
        <v>1</v>
      </c>
      <c r="D119" s="14">
        <f>VLOOKUP(B119,SKU_Company!A:B,2,FALSE)</f>
        <v>210</v>
      </c>
      <c r="E119" s="14">
        <f t="shared" si="1"/>
        <v>210</v>
      </c>
    </row>
    <row r="120" spans="1:5" x14ac:dyDescent="0.3">
      <c r="A120" s="3">
        <v>2001811305</v>
      </c>
      <c r="B120" s="4">
        <v>8904223819512</v>
      </c>
      <c r="C120" s="3">
        <v>1</v>
      </c>
      <c r="D120" s="14">
        <f>VLOOKUP(B120,SKU_Company!A:B,2,FALSE)</f>
        <v>210</v>
      </c>
      <c r="E120" s="14">
        <f t="shared" si="1"/>
        <v>210</v>
      </c>
    </row>
    <row r="121" spans="1:5" x14ac:dyDescent="0.3">
      <c r="A121" s="3">
        <v>2001811229</v>
      </c>
      <c r="B121" s="4">
        <v>8904223819468</v>
      </c>
      <c r="C121" s="3">
        <v>1</v>
      </c>
      <c r="D121" s="14">
        <f>VLOOKUP(B121,SKU_Company!A:B,2,FALSE)</f>
        <v>240</v>
      </c>
      <c r="E121" s="14">
        <f t="shared" si="1"/>
        <v>240</v>
      </c>
    </row>
    <row r="122" spans="1:5" x14ac:dyDescent="0.3">
      <c r="A122" s="3">
        <v>2001811229</v>
      </c>
      <c r="B122" s="4">
        <v>8904223819345</v>
      </c>
      <c r="C122" s="3">
        <v>1</v>
      </c>
      <c r="D122" s="14">
        <f>VLOOKUP(B122,SKU_Company!A:B,2,FALSE)</f>
        <v>165</v>
      </c>
      <c r="E122" s="14">
        <f t="shared" si="1"/>
        <v>165</v>
      </c>
    </row>
    <row r="123" spans="1:5" x14ac:dyDescent="0.3">
      <c r="A123" s="3">
        <v>2001811229</v>
      </c>
      <c r="B123" s="4">
        <v>8904223818874</v>
      </c>
      <c r="C123" s="3">
        <v>1</v>
      </c>
      <c r="D123" s="14">
        <f>VLOOKUP(B123,SKU_Company!A:B,2,FALSE)</f>
        <v>100</v>
      </c>
      <c r="E123" s="14">
        <f t="shared" si="1"/>
        <v>100</v>
      </c>
    </row>
    <row r="124" spans="1:5" x14ac:dyDescent="0.3">
      <c r="A124" s="3">
        <v>2001811192</v>
      </c>
      <c r="B124" s="4">
        <v>8904223816214</v>
      </c>
      <c r="C124" s="3">
        <v>1</v>
      </c>
      <c r="D124" s="14">
        <f>VLOOKUP(B124,SKU_Company!A:B,2,FALSE)</f>
        <v>120</v>
      </c>
      <c r="E124" s="14">
        <f t="shared" si="1"/>
        <v>120</v>
      </c>
    </row>
    <row r="125" spans="1:5" x14ac:dyDescent="0.3">
      <c r="A125" s="3">
        <v>2001811192</v>
      </c>
      <c r="B125" s="4">
        <v>8904223818874</v>
      </c>
      <c r="C125" s="3">
        <v>1</v>
      </c>
      <c r="D125" s="14">
        <f>VLOOKUP(B125,SKU_Company!A:B,2,FALSE)</f>
        <v>100</v>
      </c>
      <c r="E125" s="14">
        <f t="shared" si="1"/>
        <v>100</v>
      </c>
    </row>
    <row r="126" spans="1:5" x14ac:dyDescent="0.3">
      <c r="A126" s="3">
        <v>2001811192</v>
      </c>
      <c r="B126" s="4">
        <v>8904223818881</v>
      </c>
      <c r="C126" s="3">
        <v>1</v>
      </c>
      <c r="D126" s="14">
        <f>VLOOKUP(B126,SKU_Company!A:B,2,FALSE)</f>
        <v>140</v>
      </c>
      <c r="E126" s="14">
        <f t="shared" si="1"/>
        <v>140</v>
      </c>
    </row>
    <row r="127" spans="1:5" x14ac:dyDescent="0.3">
      <c r="A127" s="3">
        <v>2001811192</v>
      </c>
      <c r="B127" s="4">
        <v>8904223819291</v>
      </c>
      <c r="C127" s="3">
        <v>2</v>
      </c>
      <c r="D127" s="14">
        <f>VLOOKUP(B127,SKU_Company!A:B,2,FALSE)</f>
        <v>112</v>
      </c>
      <c r="E127" s="14">
        <f t="shared" si="1"/>
        <v>224</v>
      </c>
    </row>
    <row r="128" spans="1:5" x14ac:dyDescent="0.3">
      <c r="A128" s="3">
        <v>2001811192</v>
      </c>
      <c r="B128" s="4">
        <v>8904223819031</v>
      </c>
      <c r="C128" s="3">
        <v>2</v>
      </c>
      <c r="D128" s="14">
        <f>VLOOKUP(B128,SKU_Company!A:B,2,FALSE)</f>
        <v>112</v>
      </c>
      <c r="E128" s="14">
        <f t="shared" si="1"/>
        <v>224</v>
      </c>
    </row>
    <row r="129" spans="1:5" x14ac:dyDescent="0.3">
      <c r="A129" s="3">
        <v>2001811192</v>
      </c>
      <c r="B129" s="4">
        <v>8904223819024</v>
      </c>
      <c r="C129" s="3">
        <v>2</v>
      </c>
      <c r="D129" s="14">
        <f>VLOOKUP(B129,SKU_Company!A:B,2,FALSE)</f>
        <v>112</v>
      </c>
      <c r="E129" s="14">
        <f t="shared" si="1"/>
        <v>224</v>
      </c>
    </row>
    <row r="130" spans="1:5" x14ac:dyDescent="0.3">
      <c r="A130" s="3">
        <v>2001811153</v>
      </c>
      <c r="B130" s="4">
        <v>8904223818706</v>
      </c>
      <c r="C130" s="3">
        <v>1</v>
      </c>
      <c r="D130" s="14">
        <f>VLOOKUP(B130,SKU_Company!A:B,2,FALSE)</f>
        <v>127</v>
      </c>
      <c r="E130" s="14">
        <f t="shared" si="1"/>
        <v>127</v>
      </c>
    </row>
    <row r="131" spans="1:5" x14ac:dyDescent="0.3">
      <c r="A131" s="3">
        <v>2001811153</v>
      </c>
      <c r="B131" s="4">
        <v>8904223818850</v>
      </c>
      <c r="C131" s="3">
        <v>1</v>
      </c>
      <c r="D131" s="14">
        <f>VLOOKUP(B131,SKU_Company!A:B,2,FALSE)</f>
        <v>240</v>
      </c>
      <c r="E131" s="14">
        <f t="shared" ref="E131:E194" si="2">D131*C131</f>
        <v>240</v>
      </c>
    </row>
    <row r="132" spans="1:5" x14ac:dyDescent="0.3">
      <c r="A132" s="3">
        <v>2001811153</v>
      </c>
      <c r="B132" s="4">
        <v>8904223819468</v>
      </c>
      <c r="C132" s="3">
        <v>1</v>
      </c>
      <c r="D132" s="14">
        <f>VLOOKUP(B132,SKU_Company!A:B,2,FALSE)</f>
        <v>240</v>
      </c>
      <c r="E132" s="14">
        <f t="shared" si="2"/>
        <v>240</v>
      </c>
    </row>
    <row r="133" spans="1:5" x14ac:dyDescent="0.3">
      <c r="A133" s="3">
        <v>2001811058</v>
      </c>
      <c r="B133" s="4">
        <v>8904223818706</v>
      </c>
      <c r="C133" s="3">
        <v>1</v>
      </c>
      <c r="D133" s="14">
        <f>VLOOKUP(B133,SKU_Company!A:B,2,FALSE)</f>
        <v>127</v>
      </c>
      <c r="E133" s="14">
        <f t="shared" si="2"/>
        <v>127</v>
      </c>
    </row>
    <row r="134" spans="1:5" x14ac:dyDescent="0.3">
      <c r="A134" s="3">
        <v>2001811058</v>
      </c>
      <c r="B134" s="4">
        <v>8904223818942</v>
      </c>
      <c r="C134" s="3">
        <v>1</v>
      </c>
      <c r="D134" s="14">
        <f>VLOOKUP(B134,SKU_Company!A:B,2,FALSE)</f>
        <v>133</v>
      </c>
      <c r="E134" s="14">
        <f t="shared" si="2"/>
        <v>133</v>
      </c>
    </row>
    <row r="135" spans="1:5" x14ac:dyDescent="0.3">
      <c r="A135" s="3">
        <v>2001811058</v>
      </c>
      <c r="B135" s="4">
        <v>8904223818850</v>
      </c>
      <c r="C135" s="3">
        <v>1</v>
      </c>
      <c r="D135" s="14">
        <f>VLOOKUP(B135,SKU_Company!A:B,2,FALSE)</f>
        <v>240</v>
      </c>
      <c r="E135" s="14">
        <f t="shared" si="2"/>
        <v>240</v>
      </c>
    </row>
    <row r="136" spans="1:5" x14ac:dyDescent="0.3">
      <c r="A136" s="3">
        <v>2001811039</v>
      </c>
      <c r="B136" s="4">
        <v>8904223818706</v>
      </c>
      <c r="C136" s="3">
        <v>1</v>
      </c>
      <c r="D136" s="14">
        <f>VLOOKUP(B136,SKU_Company!A:B,2,FALSE)</f>
        <v>127</v>
      </c>
      <c r="E136" s="14">
        <f t="shared" si="2"/>
        <v>127</v>
      </c>
    </row>
    <row r="137" spans="1:5" x14ac:dyDescent="0.3">
      <c r="A137" s="3">
        <v>2001811039</v>
      </c>
      <c r="B137" s="4">
        <v>8904223818683</v>
      </c>
      <c r="C137" s="3">
        <v>1</v>
      </c>
      <c r="D137" s="14">
        <f>VLOOKUP(B137,SKU_Company!A:B,2,FALSE)</f>
        <v>121</v>
      </c>
      <c r="E137" s="14">
        <f t="shared" si="2"/>
        <v>121</v>
      </c>
    </row>
    <row r="138" spans="1:5" x14ac:dyDescent="0.3">
      <c r="A138" s="3">
        <v>2001811039</v>
      </c>
      <c r="B138" s="4">
        <v>8904223818850</v>
      </c>
      <c r="C138" s="3">
        <v>1</v>
      </c>
      <c r="D138" s="14">
        <f>VLOOKUP(B138,SKU_Company!A:B,2,FALSE)</f>
        <v>240</v>
      </c>
      <c r="E138" s="14">
        <f t="shared" si="2"/>
        <v>240</v>
      </c>
    </row>
    <row r="139" spans="1:5" x14ac:dyDescent="0.3">
      <c r="A139" s="3">
        <v>2001810697</v>
      </c>
      <c r="B139" s="4">
        <v>8904223818706</v>
      </c>
      <c r="C139" s="3">
        <v>1</v>
      </c>
      <c r="D139" s="14">
        <f>VLOOKUP(B139,SKU_Company!A:B,2,FALSE)</f>
        <v>127</v>
      </c>
      <c r="E139" s="14">
        <f t="shared" si="2"/>
        <v>127</v>
      </c>
    </row>
    <row r="140" spans="1:5" x14ac:dyDescent="0.3">
      <c r="A140" s="3">
        <v>2001810697</v>
      </c>
      <c r="B140" s="4">
        <v>8904223818850</v>
      </c>
      <c r="C140" s="3">
        <v>1</v>
      </c>
      <c r="D140" s="14">
        <f>VLOOKUP(B140,SKU_Company!A:B,2,FALSE)</f>
        <v>240</v>
      </c>
      <c r="E140" s="14">
        <f t="shared" si="2"/>
        <v>240</v>
      </c>
    </row>
    <row r="141" spans="1:5" x14ac:dyDescent="0.3">
      <c r="A141" s="3">
        <v>2001810697</v>
      </c>
      <c r="B141" s="4">
        <v>8904223819468</v>
      </c>
      <c r="C141" s="3">
        <v>1</v>
      </c>
      <c r="D141" s="14">
        <f>VLOOKUP(B141,SKU_Company!A:B,2,FALSE)</f>
        <v>240</v>
      </c>
      <c r="E141" s="14">
        <f t="shared" si="2"/>
        <v>240</v>
      </c>
    </row>
    <row r="142" spans="1:5" x14ac:dyDescent="0.3">
      <c r="A142" s="3">
        <v>2001810549</v>
      </c>
      <c r="B142" s="4">
        <v>8904223819468</v>
      </c>
      <c r="C142" s="3">
        <v>1</v>
      </c>
      <c r="D142" s="14">
        <f>VLOOKUP(B142,SKU_Company!A:B,2,FALSE)</f>
        <v>240</v>
      </c>
      <c r="E142" s="14">
        <f t="shared" si="2"/>
        <v>240</v>
      </c>
    </row>
    <row r="143" spans="1:5" x14ac:dyDescent="0.3">
      <c r="A143" s="3">
        <v>2001810549</v>
      </c>
      <c r="B143" s="4">
        <v>8904223818454</v>
      </c>
      <c r="C143" s="3">
        <v>1</v>
      </c>
      <c r="D143" s="14">
        <f>VLOOKUP(B143,SKU_Company!A:B,2,FALSE)</f>
        <v>232</v>
      </c>
      <c r="E143" s="14">
        <f t="shared" si="2"/>
        <v>232</v>
      </c>
    </row>
    <row r="144" spans="1:5" x14ac:dyDescent="0.3">
      <c r="A144" s="3">
        <v>2001810549</v>
      </c>
      <c r="B144" s="4">
        <v>8904223818669</v>
      </c>
      <c r="C144" s="3">
        <v>1</v>
      </c>
      <c r="D144" s="14">
        <f>VLOOKUP(B144,SKU_Company!A:B,2,FALSE)</f>
        <v>240</v>
      </c>
      <c r="E144" s="14">
        <f t="shared" si="2"/>
        <v>240</v>
      </c>
    </row>
    <row r="145" spans="1:5" x14ac:dyDescent="0.3">
      <c r="A145" s="3">
        <v>2001810549</v>
      </c>
      <c r="B145" s="4">
        <v>8904223818638</v>
      </c>
      <c r="C145" s="3">
        <v>2</v>
      </c>
      <c r="D145" s="14">
        <f>VLOOKUP(B145,SKU_Company!A:B,2,FALSE)</f>
        <v>137</v>
      </c>
      <c r="E145" s="14">
        <f t="shared" si="2"/>
        <v>274</v>
      </c>
    </row>
    <row r="146" spans="1:5" x14ac:dyDescent="0.3">
      <c r="A146" s="3">
        <v>2001810281</v>
      </c>
      <c r="B146" s="4">
        <v>8904223818706</v>
      </c>
      <c r="C146" s="3">
        <v>1</v>
      </c>
      <c r="D146" s="14">
        <f>VLOOKUP(B146,SKU_Company!A:B,2,FALSE)</f>
        <v>127</v>
      </c>
      <c r="E146" s="14">
        <f t="shared" si="2"/>
        <v>127</v>
      </c>
    </row>
    <row r="147" spans="1:5" x14ac:dyDescent="0.3">
      <c r="A147" s="3">
        <v>2001810281</v>
      </c>
      <c r="B147" s="4">
        <v>8904223818942</v>
      </c>
      <c r="C147" s="3">
        <v>1</v>
      </c>
      <c r="D147" s="14">
        <f>VLOOKUP(B147,SKU_Company!A:B,2,FALSE)</f>
        <v>133</v>
      </c>
      <c r="E147" s="14">
        <f t="shared" si="2"/>
        <v>133</v>
      </c>
    </row>
    <row r="148" spans="1:5" x14ac:dyDescent="0.3">
      <c r="A148" s="3">
        <v>2001810281</v>
      </c>
      <c r="B148" s="4">
        <v>8904223818850</v>
      </c>
      <c r="C148" s="3">
        <v>1</v>
      </c>
      <c r="D148" s="14">
        <f>VLOOKUP(B148,SKU_Company!A:B,2,FALSE)</f>
        <v>240</v>
      </c>
      <c r="E148" s="14">
        <f t="shared" si="2"/>
        <v>240</v>
      </c>
    </row>
    <row r="149" spans="1:5" x14ac:dyDescent="0.3">
      <c r="A149" s="3">
        <v>2001810125</v>
      </c>
      <c r="B149" s="4">
        <v>8904223818706</v>
      </c>
      <c r="C149" s="3">
        <v>1</v>
      </c>
      <c r="D149" s="14">
        <f>VLOOKUP(B149,SKU_Company!A:B,2,FALSE)</f>
        <v>127</v>
      </c>
      <c r="E149" s="14">
        <f t="shared" si="2"/>
        <v>127</v>
      </c>
    </row>
    <row r="150" spans="1:5" x14ac:dyDescent="0.3">
      <c r="A150" s="3">
        <v>2001810125</v>
      </c>
      <c r="B150" s="4">
        <v>8904223818942</v>
      </c>
      <c r="C150" s="3">
        <v>1</v>
      </c>
      <c r="D150" s="14">
        <f>VLOOKUP(B150,SKU_Company!A:B,2,FALSE)</f>
        <v>133</v>
      </c>
      <c r="E150" s="14">
        <f t="shared" si="2"/>
        <v>133</v>
      </c>
    </row>
    <row r="151" spans="1:5" x14ac:dyDescent="0.3">
      <c r="A151" s="3">
        <v>2001810125</v>
      </c>
      <c r="B151" s="4">
        <v>8904223818850</v>
      </c>
      <c r="C151" s="3">
        <v>1</v>
      </c>
      <c r="D151" s="14">
        <f>VLOOKUP(B151,SKU_Company!A:B,2,FALSE)</f>
        <v>240</v>
      </c>
      <c r="E151" s="14">
        <f t="shared" si="2"/>
        <v>240</v>
      </c>
    </row>
    <row r="152" spans="1:5" x14ac:dyDescent="0.3">
      <c r="A152" s="3">
        <v>2001810104</v>
      </c>
      <c r="B152" s="4">
        <v>8904223818850</v>
      </c>
      <c r="C152" s="3">
        <v>1</v>
      </c>
      <c r="D152" s="14">
        <f>VLOOKUP(B152,SKU_Company!A:B,2,FALSE)</f>
        <v>240</v>
      </c>
      <c r="E152" s="14">
        <f t="shared" si="2"/>
        <v>240</v>
      </c>
    </row>
    <row r="153" spans="1:5" x14ac:dyDescent="0.3">
      <c r="A153" s="3">
        <v>2001810104</v>
      </c>
      <c r="B153" s="4">
        <v>8904223818683</v>
      </c>
      <c r="C153" s="3">
        <v>1</v>
      </c>
      <c r="D153" s="14">
        <f>VLOOKUP(B153,SKU_Company!A:B,2,FALSE)</f>
        <v>121</v>
      </c>
      <c r="E153" s="14">
        <f t="shared" si="2"/>
        <v>121</v>
      </c>
    </row>
    <row r="154" spans="1:5" x14ac:dyDescent="0.3">
      <c r="A154" s="3">
        <v>2001810104</v>
      </c>
      <c r="B154" s="4">
        <v>8904223819468</v>
      </c>
      <c r="C154" s="3">
        <v>1</v>
      </c>
      <c r="D154" s="14">
        <f>VLOOKUP(B154,SKU_Company!A:B,2,FALSE)</f>
        <v>240</v>
      </c>
      <c r="E154" s="14">
        <f t="shared" si="2"/>
        <v>240</v>
      </c>
    </row>
    <row r="155" spans="1:5" x14ac:dyDescent="0.3">
      <c r="A155" s="3">
        <v>2001809934</v>
      </c>
      <c r="B155" s="4">
        <v>8904223818850</v>
      </c>
      <c r="C155" s="3">
        <v>1</v>
      </c>
      <c r="D155" s="14">
        <f>VLOOKUP(B155,SKU_Company!A:B,2,FALSE)</f>
        <v>240</v>
      </c>
      <c r="E155" s="14">
        <f t="shared" si="2"/>
        <v>240</v>
      </c>
    </row>
    <row r="156" spans="1:5" x14ac:dyDescent="0.3">
      <c r="A156" s="3">
        <v>2001809934</v>
      </c>
      <c r="B156" s="4">
        <v>8904223818683</v>
      </c>
      <c r="C156" s="3">
        <v>1</v>
      </c>
      <c r="D156" s="14">
        <f>VLOOKUP(B156,SKU_Company!A:B,2,FALSE)</f>
        <v>121</v>
      </c>
      <c r="E156" s="14">
        <f t="shared" si="2"/>
        <v>121</v>
      </c>
    </row>
    <row r="157" spans="1:5" x14ac:dyDescent="0.3">
      <c r="A157" s="3">
        <v>2001809917</v>
      </c>
      <c r="B157" s="4">
        <v>8904223819499</v>
      </c>
      <c r="C157" s="3">
        <v>1</v>
      </c>
      <c r="D157" s="14">
        <f>VLOOKUP(B157,SKU_Company!A:B,2,FALSE)</f>
        <v>210</v>
      </c>
      <c r="E157" s="14">
        <f t="shared" si="2"/>
        <v>210</v>
      </c>
    </row>
    <row r="158" spans="1:5" x14ac:dyDescent="0.3">
      <c r="A158" s="3">
        <v>2001809917</v>
      </c>
      <c r="B158" s="4">
        <v>8904223819505</v>
      </c>
      <c r="C158" s="3">
        <v>1</v>
      </c>
      <c r="D158" s="14">
        <f>VLOOKUP(B158,SKU_Company!A:B,2,FALSE)</f>
        <v>210</v>
      </c>
      <c r="E158" s="14">
        <f t="shared" si="2"/>
        <v>210</v>
      </c>
    </row>
    <row r="159" spans="1:5" x14ac:dyDescent="0.3">
      <c r="A159" s="3">
        <v>2001809917</v>
      </c>
      <c r="B159" s="4">
        <v>8904223819512</v>
      </c>
      <c r="C159" s="3">
        <v>1</v>
      </c>
      <c r="D159" s="14">
        <f>VLOOKUP(B159,SKU_Company!A:B,2,FALSE)</f>
        <v>210</v>
      </c>
      <c r="E159" s="14">
        <f t="shared" si="2"/>
        <v>210</v>
      </c>
    </row>
    <row r="160" spans="1:5" x14ac:dyDescent="0.3">
      <c r="A160" s="3">
        <v>2001809820</v>
      </c>
      <c r="B160" s="4">
        <v>8904223819277</v>
      </c>
      <c r="C160" s="3">
        <v>1</v>
      </c>
      <c r="D160" s="14">
        <f>VLOOKUP(B160,SKU_Company!A:B,2,FALSE)</f>
        <v>350</v>
      </c>
      <c r="E160" s="14">
        <f t="shared" si="2"/>
        <v>350</v>
      </c>
    </row>
    <row r="161" spans="1:5" x14ac:dyDescent="0.3">
      <c r="A161" s="3">
        <v>2001809820</v>
      </c>
      <c r="B161" s="4">
        <v>8904223818478</v>
      </c>
      <c r="C161" s="3">
        <v>1</v>
      </c>
      <c r="D161" s="14">
        <f>VLOOKUP(B161,SKU_Company!A:B,2,FALSE)</f>
        <v>350</v>
      </c>
      <c r="E161" s="14">
        <f t="shared" si="2"/>
        <v>350</v>
      </c>
    </row>
    <row r="162" spans="1:5" x14ac:dyDescent="0.3">
      <c r="A162" s="3">
        <v>2001809820</v>
      </c>
      <c r="B162" s="4">
        <v>8904223819284</v>
      </c>
      <c r="C162" s="3">
        <v>1</v>
      </c>
      <c r="D162" s="14">
        <f>VLOOKUP(B162,SKU_Company!A:B,2,FALSE)</f>
        <v>350</v>
      </c>
      <c r="E162" s="14">
        <f t="shared" si="2"/>
        <v>350</v>
      </c>
    </row>
    <row r="163" spans="1:5" x14ac:dyDescent="0.3">
      <c r="A163" s="3">
        <v>2001809820</v>
      </c>
      <c r="B163" s="4">
        <v>8904223819130</v>
      </c>
      <c r="C163" s="3">
        <v>1</v>
      </c>
      <c r="D163" s="14">
        <f>VLOOKUP(B163,SKU_Company!A:B,2,FALSE)</f>
        <v>350</v>
      </c>
      <c r="E163" s="14">
        <f t="shared" si="2"/>
        <v>350</v>
      </c>
    </row>
    <row r="164" spans="1:5" x14ac:dyDescent="0.3">
      <c r="A164" s="3">
        <v>2001809820</v>
      </c>
      <c r="B164" s="4">
        <v>8904223819031</v>
      </c>
      <c r="C164" s="3">
        <v>2</v>
      </c>
      <c r="D164" s="14">
        <f>VLOOKUP(B164,SKU_Company!A:B,2,FALSE)</f>
        <v>112</v>
      </c>
      <c r="E164" s="14">
        <f t="shared" si="2"/>
        <v>224</v>
      </c>
    </row>
    <row r="165" spans="1:5" x14ac:dyDescent="0.3">
      <c r="A165" s="3">
        <v>2001809820</v>
      </c>
      <c r="B165" s="4">
        <v>8904223819024</v>
      </c>
      <c r="C165" s="3">
        <v>2</v>
      </c>
      <c r="D165" s="14">
        <f>VLOOKUP(B165,SKU_Company!A:B,2,FALSE)</f>
        <v>112</v>
      </c>
      <c r="E165" s="14">
        <f t="shared" si="2"/>
        <v>224</v>
      </c>
    </row>
    <row r="166" spans="1:5" x14ac:dyDescent="0.3">
      <c r="A166" s="3">
        <v>2001809820</v>
      </c>
      <c r="B166" s="4">
        <v>8904223816214</v>
      </c>
      <c r="C166" s="3">
        <v>1</v>
      </c>
      <c r="D166" s="14">
        <f>VLOOKUP(B166,SKU_Company!A:B,2,FALSE)</f>
        <v>120</v>
      </c>
      <c r="E166" s="14">
        <f t="shared" si="2"/>
        <v>120</v>
      </c>
    </row>
    <row r="167" spans="1:5" x14ac:dyDescent="0.3">
      <c r="A167" s="3">
        <v>2001809820</v>
      </c>
      <c r="B167" s="4">
        <v>8904223818874</v>
      </c>
      <c r="C167" s="3">
        <v>1</v>
      </c>
      <c r="D167" s="14">
        <f>VLOOKUP(B167,SKU_Company!A:B,2,FALSE)</f>
        <v>100</v>
      </c>
      <c r="E167" s="14">
        <f t="shared" si="2"/>
        <v>100</v>
      </c>
    </row>
    <row r="168" spans="1:5" x14ac:dyDescent="0.3">
      <c r="A168" s="3">
        <v>2001809820</v>
      </c>
      <c r="B168" s="4">
        <v>8904223818881</v>
      </c>
      <c r="C168" s="3">
        <v>1</v>
      </c>
      <c r="D168" s="14">
        <f>VLOOKUP(B168,SKU_Company!A:B,2,FALSE)</f>
        <v>140</v>
      </c>
      <c r="E168" s="14">
        <f t="shared" si="2"/>
        <v>140</v>
      </c>
    </row>
    <row r="169" spans="1:5" x14ac:dyDescent="0.3">
      <c r="A169" s="3">
        <v>2001809820</v>
      </c>
      <c r="B169" s="4">
        <v>8904223818898</v>
      </c>
      <c r="C169" s="3">
        <v>1</v>
      </c>
      <c r="D169" s="14">
        <f>VLOOKUP(B169,SKU_Company!A:B,2,FALSE)</f>
        <v>140</v>
      </c>
      <c r="E169" s="14">
        <f t="shared" si="2"/>
        <v>140</v>
      </c>
    </row>
    <row r="170" spans="1:5" x14ac:dyDescent="0.3">
      <c r="A170" s="3">
        <v>2001809820</v>
      </c>
      <c r="B170" s="4">
        <v>8904223818706</v>
      </c>
      <c r="C170" s="3">
        <v>1</v>
      </c>
      <c r="D170" s="14">
        <f>VLOOKUP(B170,SKU_Company!A:B,2,FALSE)</f>
        <v>127</v>
      </c>
      <c r="E170" s="14">
        <f t="shared" si="2"/>
        <v>127</v>
      </c>
    </row>
    <row r="171" spans="1:5" x14ac:dyDescent="0.3">
      <c r="A171" s="3">
        <v>2001809820</v>
      </c>
      <c r="B171" s="4">
        <v>8904223818942</v>
      </c>
      <c r="C171" s="3">
        <v>1</v>
      </c>
      <c r="D171" s="14">
        <f>VLOOKUP(B171,SKU_Company!A:B,2,FALSE)</f>
        <v>133</v>
      </c>
      <c r="E171" s="14">
        <f t="shared" si="2"/>
        <v>133</v>
      </c>
    </row>
    <row r="172" spans="1:5" x14ac:dyDescent="0.3">
      <c r="A172" s="3">
        <v>2001809820</v>
      </c>
      <c r="B172" s="4">
        <v>8904223818850</v>
      </c>
      <c r="C172" s="3">
        <v>1</v>
      </c>
      <c r="D172" s="14">
        <f>VLOOKUP(B172,SKU_Company!A:B,2,FALSE)</f>
        <v>240</v>
      </c>
      <c r="E172" s="14">
        <f t="shared" si="2"/>
        <v>240</v>
      </c>
    </row>
    <row r="173" spans="1:5" x14ac:dyDescent="0.3">
      <c r="A173" s="3">
        <v>2001809820</v>
      </c>
      <c r="B173" s="4">
        <v>8904223818454</v>
      </c>
      <c r="C173" s="3">
        <v>1</v>
      </c>
      <c r="D173" s="14">
        <f>VLOOKUP(B173,SKU_Company!A:B,2,FALSE)</f>
        <v>232</v>
      </c>
      <c r="E173" s="14">
        <f t="shared" si="2"/>
        <v>232</v>
      </c>
    </row>
    <row r="174" spans="1:5" x14ac:dyDescent="0.3">
      <c r="A174" s="3">
        <v>2001809794</v>
      </c>
      <c r="B174" s="4">
        <v>8904223819284</v>
      </c>
      <c r="C174" s="3">
        <v>1</v>
      </c>
      <c r="D174" s="14">
        <f>VLOOKUP(B174,SKU_Company!A:B,2,FALSE)</f>
        <v>350</v>
      </c>
      <c r="E174" s="14">
        <f t="shared" si="2"/>
        <v>350</v>
      </c>
    </row>
    <row r="175" spans="1:5" x14ac:dyDescent="0.3">
      <c r="A175" s="3">
        <v>2001809794</v>
      </c>
      <c r="B175" s="4">
        <v>8904223819352</v>
      </c>
      <c r="C175" s="3">
        <v>1</v>
      </c>
      <c r="D175" s="14">
        <f>VLOOKUP(B175,SKU_Company!A:B,2,FALSE)</f>
        <v>165</v>
      </c>
      <c r="E175" s="14">
        <f t="shared" si="2"/>
        <v>165</v>
      </c>
    </row>
    <row r="176" spans="1:5" x14ac:dyDescent="0.3">
      <c r="A176" s="3">
        <v>2001809794</v>
      </c>
      <c r="B176" s="4">
        <v>8904223818935</v>
      </c>
      <c r="C176" s="3">
        <v>1</v>
      </c>
      <c r="D176" s="14">
        <f>VLOOKUP(B176,SKU_Company!A:B,2,FALSE)</f>
        <v>120</v>
      </c>
      <c r="E176" s="14">
        <f t="shared" si="2"/>
        <v>120</v>
      </c>
    </row>
    <row r="177" spans="1:5" x14ac:dyDescent="0.3">
      <c r="A177" s="3">
        <v>2001809794</v>
      </c>
      <c r="B177" s="4">
        <v>8904223816214</v>
      </c>
      <c r="C177" s="3">
        <v>1</v>
      </c>
      <c r="D177" s="14">
        <f>VLOOKUP(B177,SKU_Company!A:B,2,FALSE)</f>
        <v>120</v>
      </c>
      <c r="E177" s="14">
        <f t="shared" si="2"/>
        <v>120</v>
      </c>
    </row>
    <row r="178" spans="1:5" x14ac:dyDescent="0.3">
      <c r="A178" s="3">
        <v>2001809794</v>
      </c>
      <c r="B178" s="4">
        <v>8904223818454</v>
      </c>
      <c r="C178" s="3">
        <v>1</v>
      </c>
      <c r="D178" s="14">
        <f>VLOOKUP(B178,SKU_Company!A:B,2,FALSE)</f>
        <v>232</v>
      </c>
      <c r="E178" s="14">
        <f t="shared" si="2"/>
        <v>232</v>
      </c>
    </row>
    <row r="179" spans="1:5" x14ac:dyDescent="0.3">
      <c r="A179" s="3">
        <v>2001809794</v>
      </c>
      <c r="B179" s="4" t="s">
        <v>36</v>
      </c>
      <c r="C179" s="3">
        <v>1</v>
      </c>
      <c r="D179" s="14">
        <f>VLOOKUP(B179,SKU_Company!A:B,2,FALSE)</f>
        <v>500</v>
      </c>
      <c r="E179" s="14">
        <f t="shared" si="2"/>
        <v>500</v>
      </c>
    </row>
    <row r="180" spans="1:5" x14ac:dyDescent="0.3">
      <c r="A180" s="3">
        <v>2001809794</v>
      </c>
      <c r="B180" s="4">
        <v>8904223819116</v>
      </c>
      <c r="C180" s="3">
        <v>1</v>
      </c>
      <c r="D180" s="14">
        <f>VLOOKUP(B180,SKU_Company!A:B,2,FALSE)</f>
        <v>30</v>
      </c>
      <c r="E180" s="14">
        <f t="shared" si="2"/>
        <v>30</v>
      </c>
    </row>
    <row r="181" spans="1:5" x14ac:dyDescent="0.3">
      <c r="A181" s="3">
        <v>2001809592</v>
      </c>
      <c r="B181" s="4">
        <v>8904223818706</v>
      </c>
      <c r="C181" s="3">
        <v>1</v>
      </c>
      <c r="D181" s="14">
        <f>VLOOKUP(B181,SKU_Company!A:B,2,FALSE)</f>
        <v>127</v>
      </c>
      <c r="E181" s="14">
        <f t="shared" si="2"/>
        <v>127</v>
      </c>
    </row>
    <row r="182" spans="1:5" x14ac:dyDescent="0.3">
      <c r="A182" s="3">
        <v>2001809592</v>
      </c>
      <c r="B182" s="4">
        <v>8904223819024</v>
      </c>
      <c r="C182" s="3">
        <v>8</v>
      </c>
      <c r="D182" s="14">
        <f>VLOOKUP(B182,SKU_Company!A:B,2,FALSE)</f>
        <v>112</v>
      </c>
      <c r="E182" s="14">
        <f t="shared" si="2"/>
        <v>896</v>
      </c>
    </row>
    <row r="183" spans="1:5" x14ac:dyDescent="0.3">
      <c r="A183" s="3">
        <v>2001809592</v>
      </c>
      <c r="B183" s="4">
        <v>8904223818683</v>
      </c>
      <c r="C183" s="3">
        <v>2</v>
      </c>
      <c r="D183" s="14">
        <f>VLOOKUP(B183,SKU_Company!A:B,2,FALSE)</f>
        <v>121</v>
      </c>
      <c r="E183" s="14">
        <f t="shared" si="2"/>
        <v>242</v>
      </c>
    </row>
    <row r="184" spans="1:5" x14ac:dyDescent="0.3">
      <c r="A184" s="3">
        <v>2001809592</v>
      </c>
      <c r="B184" s="4">
        <v>8904223818850</v>
      </c>
      <c r="C184" s="3">
        <v>1</v>
      </c>
      <c r="D184" s="14">
        <f>VLOOKUP(B184,SKU_Company!A:B,2,FALSE)</f>
        <v>240</v>
      </c>
      <c r="E184" s="14">
        <f t="shared" si="2"/>
        <v>240</v>
      </c>
    </row>
    <row r="185" spans="1:5" x14ac:dyDescent="0.3">
      <c r="A185" s="3">
        <v>2001809383</v>
      </c>
      <c r="B185" s="4">
        <v>8904223818706</v>
      </c>
      <c r="C185" s="3">
        <v>1</v>
      </c>
      <c r="D185" s="14">
        <f>VLOOKUP(B185,SKU_Company!A:B,2,FALSE)</f>
        <v>127</v>
      </c>
      <c r="E185" s="14">
        <f t="shared" si="2"/>
        <v>127</v>
      </c>
    </row>
    <row r="186" spans="1:5" x14ac:dyDescent="0.3">
      <c r="A186" s="3">
        <v>2001809383</v>
      </c>
      <c r="B186" s="4">
        <v>8904223818850</v>
      </c>
      <c r="C186" s="3">
        <v>1</v>
      </c>
      <c r="D186" s="14">
        <f>VLOOKUP(B186,SKU_Company!A:B,2,FALSE)</f>
        <v>240</v>
      </c>
      <c r="E186" s="14">
        <f t="shared" si="2"/>
        <v>240</v>
      </c>
    </row>
    <row r="187" spans="1:5" x14ac:dyDescent="0.3">
      <c r="A187" s="3">
        <v>2001809383</v>
      </c>
      <c r="B187" s="4">
        <v>8904223819468</v>
      </c>
      <c r="C187" s="3">
        <v>1</v>
      </c>
      <c r="D187" s="14">
        <f>VLOOKUP(B187,SKU_Company!A:B,2,FALSE)</f>
        <v>240</v>
      </c>
      <c r="E187" s="14">
        <f t="shared" si="2"/>
        <v>240</v>
      </c>
    </row>
    <row r="188" spans="1:5" x14ac:dyDescent="0.3">
      <c r="A188" s="3">
        <v>2001809270</v>
      </c>
      <c r="B188" s="4">
        <v>8904223818706</v>
      </c>
      <c r="C188" s="3">
        <v>1</v>
      </c>
      <c r="D188" s="14">
        <f>VLOOKUP(B188,SKU_Company!A:B,2,FALSE)</f>
        <v>127</v>
      </c>
      <c r="E188" s="14">
        <f t="shared" si="2"/>
        <v>127</v>
      </c>
    </row>
    <row r="189" spans="1:5" x14ac:dyDescent="0.3">
      <c r="A189" s="3">
        <v>2001809270</v>
      </c>
      <c r="B189" s="4">
        <v>8904223818942</v>
      </c>
      <c r="C189" s="3">
        <v>1</v>
      </c>
      <c r="D189" s="14">
        <f>VLOOKUP(B189,SKU_Company!A:B,2,FALSE)</f>
        <v>133</v>
      </c>
      <c r="E189" s="14">
        <f t="shared" si="2"/>
        <v>133</v>
      </c>
    </row>
    <row r="190" spans="1:5" x14ac:dyDescent="0.3">
      <c r="A190" s="3">
        <v>2001809270</v>
      </c>
      <c r="B190" s="4">
        <v>8904223818850</v>
      </c>
      <c r="C190" s="3">
        <v>1</v>
      </c>
      <c r="D190" s="14">
        <f>VLOOKUP(B190,SKU_Company!A:B,2,FALSE)</f>
        <v>240</v>
      </c>
      <c r="E190" s="14">
        <f t="shared" si="2"/>
        <v>240</v>
      </c>
    </row>
    <row r="191" spans="1:5" x14ac:dyDescent="0.3">
      <c r="A191" s="3">
        <v>2001808992</v>
      </c>
      <c r="B191" s="4">
        <v>8904223818706</v>
      </c>
      <c r="C191" s="3">
        <v>1</v>
      </c>
      <c r="D191" s="14">
        <f>VLOOKUP(B191,SKU_Company!A:B,2,FALSE)</f>
        <v>127</v>
      </c>
      <c r="E191" s="14">
        <f t="shared" si="2"/>
        <v>127</v>
      </c>
    </row>
    <row r="192" spans="1:5" x14ac:dyDescent="0.3">
      <c r="A192" s="3">
        <v>2001808992</v>
      </c>
      <c r="B192" s="4">
        <v>8904223818942</v>
      </c>
      <c r="C192" s="3">
        <v>1</v>
      </c>
      <c r="D192" s="14">
        <f>VLOOKUP(B192,SKU_Company!A:B,2,FALSE)</f>
        <v>133</v>
      </c>
      <c r="E192" s="14">
        <f t="shared" si="2"/>
        <v>133</v>
      </c>
    </row>
    <row r="193" spans="1:5" x14ac:dyDescent="0.3">
      <c r="A193" s="3">
        <v>2001808992</v>
      </c>
      <c r="B193" s="4">
        <v>8904223818850</v>
      </c>
      <c r="C193" s="3">
        <v>1</v>
      </c>
      <c r="D193" s="14">
        <f>VLOOKUP(B193,SKU_Company!A:B,2,FALSE)</f>
        <v>240</v>
      </c>
      <c r="E193" s="14">
        <f t="shared" si="2"/>
        <v>240</v>
      </c>
    </row>
    <row r="194" spans="1:5" x14ac:dyDescent="0.3">
      <c r="A194" s="3">
        <v>2001808883</v>
      </c>
      <c r="B194" s="4">
        <v>8904223818706</v>
      </c>
      <c r="C194" s="3">
        <v>1</v>
      </c>
      <c r="D194" s="14">
        <f>VLOOKUP(B194,SKU_Company!A:B,2,FALSE)</f>
        <v>127</v>
      </c>
      <c r="E194" s="14">
        <f t="shared" si="2"/>
        <v>127</v>
      </c>
    </row>
    <row r="195" spans="1:5" x14ac:dyDescent="0.3">
      <c r="A195" s="3">
        <v>2001808883</v>
      </c>
      <c r="B195" s="4">
        <v>8904223818942</v>
      </c>
      <c r="C195" s="3">
        <v>1</v>
      </c>
      <c r="D195" s="14">
        <f>VLOOKUP(B195,SKU_Company!A:B,2,FALSE)</f>
        <v>133</v>
      </c>
      <c r="E195" s="14">
        <f t="shared" ref="E195:E258" si="3">D195*C195</f>
        <v>133</v>
      </c>
    </row>
    <row r="196" spans="1:5" x14ac:dyDescent="0.3">
      <c r="A196" s="3">
        <v>2001808883</v>
      </c>
      <c r="B196" s="4">
        <v>8904223818850</v>
      </c>
      <c r="C196" s="3">
        <v>1</v>
      </c>
      <c r="D196" s="14">
        <f>VLOOKUP(B196,SKU_Company!A:B,2,FALSE)</f>
        <v>240</v>
      </c>
      <c r="E196" s="14">
        <f t="shared" si="3"/>
        <v>240</v>
      </c>
    </row>
    <row r="197" spans="1:5" x14ac:dyDescent="0.3">
      <c r="A197" s="3">
        <v>2001808837</v>
      </c>
      <c r="B197" s="4">
        <v>8904223818706</v>
      </c>
      <c r="C197" s="3">
        <v>1</v>
      </c>
      <c r="D197" s="14">
        <f>VLOOKUP(B197,SKU_Company!A:B,2,FALSE)</f>
        <v>127</v>
      </c>
      <c r="E197" s="14">
        <f t="shared" si="3"/>
        <v>127</v>
      </c>
    </row>
    <row r="198" spans="1:5" x14ac:dyDescent="0.3">
      <c r="A198" s="3">
        <v>2001808837</v>
      </c>
      <c r="B198" s="4">
        <v>8904223818942</v>
      </c>
      <c r="C198" s="3">
        <v>1</v>
      </c>
      <c r="D198" s="14">
        <f>VLOOKUP(B198,SKU_Company!A:B,2,FALSE)</f>
        <v>133</v>
      </c>
      <c r="E198" s="14">
        <f t="shared" si="3"/>
        <v>133</v>
      </c>
    </row>
    <row r="199" spans="1:5" x14ac:dyDescent="0.3">
      <c r="A199" s="3">
        <v>2001808837</v>
      </c>
      <c r="B199" s="4">
        <v>8904223818850</v>
      </c>
      <c r="C199" s="3">
        <v>1</v>
      </c>
      <c r="D199" s="14">
        <f>VLOOKUP(B199,SKU_Company!A:B,2,FALSE)</f>
        <v>240</v>
      </c>
      <c r="E199" s="14">
        <f t="shared" si="3"/>
        <v>240</v>
      </c>
    </row>
    <row r="200" spans="1:5" x14ac:dyDescent="0.3">
      <c r="A200" s="3">
        <v>2001808832</v>
      </c>
      <c r="B200" s="4">
        <v>8904223819338</v>
      </c>
      <c r="C200" s="3">
        <v>1</v>
      </c>
      <c r="D200" s="14">
        <f>VLOOKUP(B200,SKU_Company!A:B,2,FALSE)</f>
        <v>600</v>
      </c>
      <c r="E200" s="14">
        <f t="shared" si="3"/>
        <v>600</v>
      </c>
    </row>
    <row r="201" spans="1:5" x14ac:dyDescent="0.3">
      <c r="A201" s="3">
        <v>2001808801</v>
      </c>
      <c r="B201" s="4">
        <v>8904223817273</v>
      </c>
      <c r="C201" s="3">
        <v>2</v>
      </c>
      <c r="D201" s="14">
        <f>VLOOKUP(B201,SKU_Company!A:B,2,FALSE)</f>
        <v>65</v>
      </c>
      <c r="E201" s="14">
        <f t="shared" si="3"/>
        <v>130</v>
      </c>
    </row>
    <row r="202" spans="1:5" x14ac:dyDescent="0.3">
      <c r="A202" s="3">
        <v>2001808801</v>
      </c>
      <c r="B202" s="4">
        <v>8904223815866</v>
      </c>
      <c r="C202" s="3">
        <v>2</v>
      </c>
      <c r="D202" s="14">
        <f>VLOOKUP(B202,SKU_Company!A:B,2,FALSE)</f>
        <v>113</v>
      </c>
      <c r="E202" s="14">
        <f t="shared" si="3"/>
        <v>226</v>
      </c>
    </row>
    <row r="203" spans="1:5" x14ac:dyDescent="0.3">
      <c r="A203" s="3">
        <v>2001808801</v>
      </c>
      <c r="B203" s="4">
        <v>8904223815859</v>
      </c>
      <c r="C203" s="3">
        <v>1</v>
      </c>
      <c r="D203" s="14">
        <f>VLOOKUP(B203,SKU_Company!A:B,2,FALSE)</f>
        <v>165</v>
      </c>
      <c r="E203" s="14">
        <f t="shared" si="3"/>
        <v>165</v>
      </c>
    </row>
    <row r="204" spans="1:5" x14ac:dyDescent="0.3">
      <c r="A204" s="3">
        <v>2001808801</v>
      </c>
      <c r="B204" s="4">
        <v>8904223815682</v>
      </c>
      <c r="C204" s="3">
        <v>1</v>
      </c>
      <c r="D204" s="14">
        <f>VLOOKUP(B204,SKU_Company!A:B,2,FALSE)</f>
        <v>210</v>
      </c>
      <c r="E204" s="14">
        <f t="shared" si="3"/>
        <v>210</v>
      </c>
    </row>
    <row r="205" spans="1:5" x14ac:dyDescent="0.3">
      <c r="A205" s="3">
        <v>2001808739</v>
      </c>
      <c r="B205" s="4">
        <v>8904223816214</v>
      </c>
      <c r="C205" s="3">
        <v>1</v>
      </c>
      <c r="D205" s="14">
        <f>VLOOKUP(B205,SKU_Company!A:B,2,FALSE)</f>
        <v>120</v>
      </c>
      <c r="E205" s="14">
        <f t="shared" si="3"/>
        <v>120</v>
      </c>
    </row>
    <row r="206" spans="1:5" x14ac:dyDescent="0.3">
      <c r="A206" s="3">
        <v>2001808739</v>
      </c>
      <c r="B206" s="4">
        <v>8904223818874</v>
      </c>
      <c r="C206" s="3">
        <v>1</v>
      </c>
      <c r="D206" s="14">
        <f>VLOOKUP(B206,SKU_Company!A:B,2,FALSE)</f>
        <v>100</v>
      </c>
      <c r="E206" s="14">
        <f t="shared" si="3"/>
        <v>100</v>
      </c>
    </row>
    <row r="207" spans="1:5" x14ac:dyDescent="0.3">
      <c r="A207" s="3">
        <v>2001808679</v>
      </c>
      <c r="B207" s="4">
        <v>8904223818706</v>
      </c>
      <c r="C207" s="3">
        <v>1</v>
      </c>
      <c r="D207" s="14">
        <f>VLOOKUP(B207,SKU_Company!A:B,2,FALSE)</f>
        <v>127</v>
      </c>
      <c r="E207" s="14">
        <f t="shared" si="3"/>
        <v>127</v>
      </c>
    </row>
    <row r="208" spans="1:5" x14ac:dyDescent="0.3">
      <c r="A208" s="3">
        <v>2001808679</v>
      </c>
      <c r="B208" s="4">
        <v>8904223818942</v>
      </c>
      <c r="C208" s="3">
        <v>1</v>
      </c>
      <c r="D208" s="14">
        <f>VLOOKUP(B208,SKU_Company!A:B,2,FALSE)</f>
        <v>133</v>
      </c>
      <c r="E208" s="14">
        <f t="shared" si="3"/>
        <v>133</v>
      </c>
    </row>
    <row r="209" spans="1:5" x14ac:dyDescent="0.3">
      <c r="A209" s="3">
        <v>2001808679</v>
      </c>
      <c r="B209" s="4">
        <v>8904223818850</v>
      </c>
      <c r="C209" s="3">
        <v>1</v>
      </c>
      <c r="D209" s="14">
        <f>VLOOKUP(B209,SKU_Company!A:B,2,FALSE)</f>
        <v>240</v>
      </c>
      <c r="E209" s="14">
        <f t="shared" si="3"/>
        <v>240</v>
      </c>
    </row>
    <row r="210" spans="1:5" x14ac:dyDescent="0.3">
      <c r="A210" s="3">
        <v>2001808675</v>
      </c>
      <c r="B210" s="4">
        <v>8904223818614</v>
      </c>
      <c r="C210" s="3">
        <v>1</v>
      </c>
      <c r="D210" s="14">
        <f>VLOOKUP(B210,SKU_Company!A:B,2,FALSE)</f>
        <v>65</v>
      </c>
      <c r="E210" s="14">
        <f t="shared" si="3"/>
        <v>65</v>
      </c>
    </row>
    <row r="211" spans="1:5" x14ac:dyDescent="0.3">
      <c r="A211" s="3">
        <v>2001808675</v>
      </c>
      <c r="B211" s="4">
        <v>8904223815866</v>
      </c>
      <c r="C211" s="3">
        <v>1</v>
      </c>
      <c r="D211" s="14">
        <f>VLOOKUP(B211,SKU_Company!A:B,2,FALSE)</f>
        <v>113</v>
      </c>
      <c r="E211" s="14">
        <f t="shared" si="3"/>
        <v>113</v>
      </c>
    </row>
    <row r="212" spans="1:5" x14ac:dyDescent="0.3">
      <c r="A212" s="3">
        <v>2001808675</v>
      </c>
      <c r="B212" s="4">
        <v>8904223815859</v>
      </c>
      <c r="C212" s="3">
        <v>1</v>
      </c>
      <c r="D212" s="14">
        <f>VLOOKUP(B212,SKU_Company!A:B,2,FALSE)</f>
        <v>165</v>
      </c>
      <c r="E212" s="14">
        <f t="shared" si="3"/>
        <v>165</v>
      </c>
    </row>
    <row r="213" spans="1:5" x14ac:dyDescent="0.3">
      <c r="A213" s="3">
        <v>2001808675</v>
      </c>
      <c r="B213" s="4">
        <v>8904223817334</v>
      </c>
      <c r="C213" s="3">
        <v>1</v>
      </c>
      <c r="D213" s="14">
        <f>VLOOKUP(B213,SKU_Company!A:B,2,FALSE)</f>
        <v>170</v>
      </c>
      <c r="E213" s="14">
        <f t="shared" si="3"/>
        <v>170</v>
      </c>
    </row>
    <row r="214" spans="1:5" x14ac:dyDescent="0.3">
      <c r="A214" s="3">
        <v>2001808675</v>
      </c>
      <c r="B214" s="4" t="s">
        <v>35</v>
      </c>
      <c r="C214" s="3">
        <v>1</v>
      </c>
      <c r="D214" s="14">
        <f>VLOOKUP(B214,SKU_Company!A:B,2,FALSE)</f>
        <v>500</v>
      </c>
      <c r="E214" s="14">
        <f t="shared" si="3"/>
        <v>500</v>
      </c>
    </row>
    <row r="215" spans="1:5" x14ac:dyDescent="0.3">
      <c r="A215" s="3">
        <v>2001808675</v>
      </c>
      <c r="B215" s="4">
        <v>8904223819369</v>
      </c>
      <c r="C215" s="3">
        <v>1</v>
      </c>
      <c r="D215" s="14">
        <f>VLOOKUP(B215,SKU_Company!A:B,2,FALSE)</f>
        <v>170</v>
      </c>
      <c r="E215" s="14">
        <f t="shared" si="3"/>
        <v>170</v>
      </c>
    </row>
    <row r="216" spans="1:5" x14ac:dyDescent="0.3">
      <c r="A216" s="3">
        <v>2001808585</v>
      </c>
      <c r="B216" s="4">
        <v>8904223818706</v>
      </c>
      <c r="C216" s="3">
        <v>1</v>
      </c>
      <c r="D216" s="14">
        <f>VLOOKUP(B216,SKU_Company!A:B,2,FALSE)</f>
        <v>127</v>
      </c>
      <c r="E216" s="14">
        <f t="shared" si="3"/>
        <v>127</v>
      </c>
    </row>
    <row r="217" spans="1:5" x14ac:dyDescent="0.3">
      <c r="A217" s="3">
        <v>2001808585</v>
      </c>
      <c r="B217" s="4">
        <v>8904223818942</v>
      </c>
      <c r="C217" s="3">
        <v>1</v>
      </c>
      <c r="D217" s="14">
        <f>VLOOKUP(B217,SKU_Company!A:B,2,FALSE)</f>
        <v>133</v>
      </c>
      <c r="E217" s="14">
        <f t="shared" si="3"/>
        <v>133</v>
      </c>
    </row>
    <row r="218" spans="1:5" x14ac:dyDescent="0.3">
      <c r="A218" s="3">
        <v>2001808585</v>
      </c>
      <c r="B218" s="4">
        <v>8904223818850</v>
      </c>
      <c r="C218" s="3">
        <v>1</v>
      </c>
      <c r="D218" s="14">
        <f>VLOOKUP(B218,SKU_Company!A:B,2,FALSE)</f>
        <v>240</v>
      </c>
      <c r="E218" s="14">
        <f t="shared" si="3"/>
        <v>240</v>
      </c>
    </row>
    <row r="219" spans="1:5" x14ac:dyDescent="0.3">
      <c r="A219" s="3">
        <v>2001808542</v>
      </c>
      <c r="B219" s="4">
        <v>8904223819468</v>
      </c>
      <c r="C219" s="3">
        <v>2</v>
      </c>
      <c r="D219" s="14">
        <f>VLOOKUP(B219,SKU_Company!A:B,2,FALSE)</f>
        <v>240</v>
      </c>
      <c r="E219" s="14">
        <f t="shared" si="3"/>
        <v>480</v>
      </c>
    </row>
    <row r="220" spans="1:5" x14ac:dyDescent="0.3">
      <c r="A220" s="3">
        <v>2001808542</v>
      </c>
      <c r="B220" s="4">
        <v>8904223818706</v>
      </c>
      <c r="C220" s="3">
        <v>2</v>
      </c>
      <c r="D220" s="14">
        <f>VLOOKUP(B220,SKU_Company!A:B,2,FALSE)</f>
        <v>127</v>
      </c>
      <c r="E220" s="14">
        <f t="shared" si="3"/>
        <v>254</v>
      </c>
    </row>
    <row r="221" spans="1:5" x14ac:dyDescent="0.3">
      <c r="A221" s="3">
        <v>2001808507</v>
      </c>
      <c r="B221" s="4">
        <v>8904223818706</v>
      </c>
      <c r="C221" s="3">
        <v>1</v>
      </c>
      <c r="D221" s="14">
        <f>VLOOKUP(B221,SKU_Company!A:B,2,FALSE)</f>
        <v>127</v>
      </c>
      <c r="E221" s="14">
        <f t="shared" si="3"/>
        <v>127</v>
      </c>
    </row>
    <row r="222" spans="1:5" x14ac:dyDescent="0.3">
      <c r="A222" s="3">
        <v>2001808507</v>
      </c>
      <c r="B222" s="4">
        <v>8904223818850</v>
      </c>
      <c r="C222" s="3">
        <v>1</v>
      </c>
      <c r="D222" s="14">
        <f>VLOOKUP(B222,SKU_Company!A:B,2,FALSE)</f>
        <v>240</v>
      </c>
      <c r="E222" s="14">
        <f t="shared" si="3"/>
        <v>240</v>
      </c>
    </row>
    <row r="223" spans="1:5" x14ac:dyDescent="0.3">
      <c r="A223" s="3">
        <v>2001808507</v>
      </c>
      <c r="B223" s="4">
        <v>8904223819468</v>
      </c>
      <c r="C223" s="3">
        <v>1</v>
      </c>
      <c r="D223" s="14">
        <f>VLOOKUP(B223,SKU_Company!A:B,2,FALSE)</f>
        <v>240</v>
      </c>
      <c r="E223" s="14">
        <f t="shared" si="3"/>
        <v>240</v>
      </c>
    </row>
    <row r="224" spans="1:5" x14ac:dyDescent="0.3">
      <c r="A224" s="3">
        <v>2001808475</v>
      </c>
      <c r="B224" s="4">
        <v>8904223818706</v>
      </c>
      <c r="C224" s="3">
        <v>1</v>
      </c>
      <c r="D224" s="14">
        <f>VLOOKUP(B224,SKU_Company!A:B,2,FALSE)</f>
        <v>127</v>
      </c>
      <c r="E224" s="14">
        <f t="shared" si="3"/>
        <v>127</v>
      </c>
    </row>
    <row r="225" spans="1:5" x14ac:dyDescent="0.3">
      <c r="A225" s="3">
        <v>2001808475</v>
      </c>
      <c r="B225" s="4">
        <v>8904223818942</v>
      </c>
      <c r="C225" s="3">
        <v>1</v>
      </c>
      <c r="D225" s="14">
        <f>VLOOKUP(B225,SKU_Company!A:B,2,FALSE)</f>
        <v>133</v>
      </c>
      <c r="E225" s="14">
        <f t="shared" si="3"/>
        <v>133</v>
      </c>
    </row>
    <row r="226" spans="1:5" x14ac:dyDescent="0.3">
      <c r="A226" s="3">
        <v>2001808475</v>
      </c>
      <c r="B226" s="4">
        <v>8904223818850</v>
      </c>
      <c r="C226" s="3">
        <v>1</v>
      </c>
      <c r="D226" s="14">
        <f>VLOOKUP(B226,SKU_Company!A:B,2,FALSE)</f>
        <v>240</v>
      </c>
      <c r="E226" s="14">
        <f t="shared" si="3"/>
        <v>240</v>
      </c>
    </row>
    <row r="227" spans="1:5" x14ac:dyDescent="0.3">
      <c r="A227" s="3">
        <v>2001808295</v>
      </c>
      <c r="B227" s="4">
        <v>8904223819161</v>
      </c>
      <c r="C227" s="3">
        <v>1</v>
      </c>
      <c r="D227" s="14">
        <f>VLOOKUP(B227,SKU_Company!A:B,2,FALSE)</f>
        <v>115</v>
      </c>
      <c r="E227" s="14">
        <f t="shared" si="3"/>
        <v>115</v>
      </c>
    </row>
    <row r="228" spans="1:5" x14ac:dyDescent="0.3">
      <c r="A228" s="3">
        <v>2001808295</v>
      </c>
      <c r="B228" s="4">
        <v>8904223819260</v>
      </c>
      <c r="C228" s="3">
        <v>1</v>
      </c>
      <c r="D228" s="14">
        <f>VLOOKUP(B228,SKU_Company!A:B,2,FALSE)</f>
        <v>130</v>
      </c>
      <c r="E228" s="14">
        <f t="shared" si="3"/>
        <v>130</v>
      </c>
    </row>
    <row r="229" spans="1:5" x14ac:dyDescent="0.3">
      <c r="A229" s="3">
        <v>2001808286</v>
      </c>
      <c r="B229" s="4">
        <v>8904223818683</v>
      </c>
      <c r="C229" s="3">
        <v>1</v>
      </c>
      <c r="D229" s="14">
        <f>VLOOKUP(B229,SKU_Company!A:B,2,FALSE)</f>
        <v>121</v>
      </c>
      <c r="E229" s="14">
        <f t="shared" si="3"/>
        <v>121</v>
      </c>
    </row>
    <row r="230" spans="1:5" x14ac:dyDescent="0.3">
      <c r="A230" s="3">
        <v>2001808286</v>
      </c>
      <c r="B230" s="4">
        <v>8904223819468</v>
      </c>
      <c r="C230" s="3">
        <v>1</v>
      </c>
      <c r="D230" s="14">
        <f>VLOOKUP(B230,SKU_Company!A:B,2,FALSE)</f>
        <v>240</v>
      </c>
      <c r="E230" s="14">
        <f t="shared" si="3"/>
        <v>240</v>
      </c>
    </row>
    <row r="231" spans="1:5" x14ac:dyDescent="0.3">
      <c r="A231" s="3">
        <v>2001808286</v>
      </c>
      <c r="B231" s="4">
        <v>8904223818850</v>
      </c>
      <c r="C231" s="3">
        <v>1</v>
      </c>
      <c r="D231" s="14">
        <f>VLOOKUP(B231,SKU_Company!A:B,2,FALSE)</f>
        <v>240</v>
      </c>
      <c r="E231" s="14">
        <f t="shared" si="3"/>
        <v>240</v>
      </c>
    </row>
    <row r="232" spans="1:5" x14ac:dyDescent="0.3">
      <c r="A232" s="3">
        <v>2001808207</v>
      </c>
      <c r="B232" s="4">
        <v>8904223818706</v>
      </c>
      <c r="C232" s="3">
        <v>1</v>
      </c>
      <c r="D232" s="14">
        <f>VLOOKUP(B232,SKU_Company!A:B,2,FALSE)</f>
        <v>127</v>
      </c>
      <c r="E232" s="14">
        <f t="shared" si="3"/>
        <v>127</v>
      </c>
    </row>
    <row r="233" spans="1:5" x14ac:dyDescent="0.3">
      <c r="A233" s="3">
        <v>2001808207</v>
      </c>
      <c r="B233" s="4">
        <v>8904223818850</v>
      </c>
      <c r="C233" s="3">
        <v>1</v>
      </c>
      <c r="D233" s="14">
        <f>VLOOKUP(B233,SKU_Company!A:B,2,FALSE)</f>
        <v>240</v>
      </c>
      <c r="E233" s="14">
        <f t="shared" si="3"/>
        <v>240</v>
      </c>
    </row>
    <row r="234" spans="1:5" x14ac:dyDescent="0.3">
      <c r="A234" s="3">
        <v>2001808207</v>
      </c>
      <c r="B234" s="4">
        <v>8904223819468</v>
      </c>
      <c r="C234" s="3">
        <v>1</v>
      </c>
      <c r="D234" s="14">
        <f>VLOOKUP(B234,SKU_Company!A:B,2,FALSE)</f>
        <v>240</v>
      </c>
      <c r="E234" s="14">
        <f t="shared" si="3"/>
        <v>240</v>
      </c>
    </row>
    <row r="235" spans="1:5" x14ac:dyDescent="0.3">
      <c r="A235" s="3">
        <v>2001808118</v>
      </c>
      <c r="B235" s="4">
        <v>8904223815859</v>
      </c>
      <c r="C235" s="3">
        <v>1</v>
      </c>
      <c r="D235" s="14">
        <f>VLOOKUP(B235,SKU_Company!A:B,2,FALSE)</f>
        <v>165</v>
      </c>
      <c r="E235" s="14">
        <f t="shared" si="3"/>
        <v>165</v>
      </c>
    </row>
    <row r="236" spans="1:5" x14ac:dyDescent="0.3">
      <c r="A236" s="3">
        <v>2001808118</v>
      </c>
      <c r="B236" s="4">
        <v>8904223817273</v>
      </c>
      <c r="C236" s="3">
        <v>1</v>
      </c>
      <c r="D236" s="14">
        <f>VLOOKUP(B236,SKU_Company!A:B,2,FALSE)</f>
        <v>65</v>
      </c>
      <c r="E236" s="14">
        <f t="shared" si="3"/>
        <v>65</v>
      </c>
    </row>
    <row r="237" spans="1:5" x14ac:dyDescent="0.3">
      <c r="A237" s="3">
        <v>2001808118</v>
      </c>
      <c r="B237" s="4">
        <v>8904223818751</v>
      </c>
      <c r="C237" s="3">
        <v>1</v>
      </c>
      <c r="D237" s="14">
        <f>VLOOKUP(B237,SKU_Company!A:B,2,FALSE)</f>
        <v>113</v>
      </c>
      <c r="E237" s="14">
        <f t="shared" si="3"/>
        <v>113</v>
      </c>
    </row>
    <row r="238" spans="1:5" x14ac:dyDescent="0.3">
      <c r="A238" s="3">
        <v>2001808102</v>
      </c>
      <c r="B238" s="4">
        <v>8904223819291</v>
      </c>
      <c r="C238" s="3">
        <v>2</v>
      </c>
      <c r="D238" s="14">
        <f>VLOOKUP(B238,SKU_Company!A:B,2,FALSE)</f>
        <v>112</v>
      </c>
      <c r="E238" s="14">
        <f t="shared" si="3"/>
        <v>224</v>
      </c>
    </row>
    <row r="239" spans="1:5" x14ac:dyDescent="0.3">
      <c r="A239" s="3">
        <v>2001808102</v>
      </c>
      <c r="B239" s="4">
        <v>8904223819031</v>
      </c>
      <c r="C239" s="3">
        <v>2</v>
      </c>
      <c r="D239" s="14">
        <f>VLOOKUP(B239,SKU_Company!A:B,2,FALSE)</f>
        <v>112</v>
      </c>
      <c r="E239" s="14">
        <f t="shared" si="3"/>
        <v>224</v>
      </c>
    </row>
    <row r="240" spans="1:5" x14ac:dyDescent="0.3">
      <c r="A240" s="3">
        <v>2001808102</v>
      </c>
      <c r="B240" s="4">
        <v>8904223819024</v>
      </c>
      <c r="C240" s="3">
        <v>2</v>
      </c>
      <c r="D240" s="14">
        <f>VLOOKUP(B240,SKU_Company!A:B,2,FALSE)</f>
        <v>112</v>
      </c>
      <c r="E240" s="14">
        <f t="shared" si="3"/>
        <v>224</v>
      </c>
    </row>
    <row r="241" spans="1:5" x14ac:dyDescent="0.3">
      <c r="A241" s="3">
        <v>2001808102</v>
      </c>
      <c r="B241" s="4">
        <v>8904223819161</v>
      </c>
      <c r="C241" s="3">
        <v>1</v>
      </c>
      <c r="D241" s="14">
        <f>VLOOKUP(B241,SKU_Company!A:B,2,FALSE)</f>
        <v>115</v>
      </c>
      <c r="E241" s="14">
        <f t="shared" si="3"/>
        <v>115</v>
      </c>
    </row>
    <row r="242" spans="1:5" x14ac:dyDescent="0.3">
      <c r="A242" s="3">
        <v>2001808102</v>
      </c>
      <c r="B242" s="4">
        <v>8904223819260</v>
      </c>
      <c r="C242" s="3">
        <v>1</v>
      </c>
      <c r="D242" s="14">
        <f>VLOOKUP(B242,SKU_Company!A:B,2,FALSE)</f>
        <v>130</v>
      </c>
      <c r="E242" s="14">
        <f t="shared" si="3"/>
        <v>130</v>
      </c>
    </row>
    <row r="243" spans="1:5" x14ac:dyDescent="0.3">
      <c r="A243" s="3">
        <v>2001808102</v>
      </c>
      <c r="B243" s="4">
        <v>8904223819468</v>
      </c>
      <c r="C243" s="3">
        <v>1</v>
      </c>
      <c r="D243" s="14">
        <f>VLOOKUP(B243,SKU_Company!A:B,2,FALSE)</f>
        <v>240</v>
      </c>
      <c r="E243" s="14">
        <f t="shared" si="3"/>
        <v>240</v>
      </c>
    </row>
    <row r="244" spans="1:5" x14ac:dyDescent="0.3">
      <c r="A244" s="3">
        <v>2001807981</v>
      </c>
      <c r="B244" s="4">
        <v>8904223818706</v>
      </c>
      <c r="C244" s="3">
        <v>1</v>
      </c>
      <c r="D244" s="14">
        <f>VLOOKUP(B244,SKU_Company!A:B,2,FALSE)</f>
        <v>127</v>
      </c>
      <c r="E244" s="14">
        <f t="shared" si="3"/>
        <v>127</v>
      </c>
    </row>
    <row r="245" spans="1:5" x14ac:dyDescent="0.3">
      <c r="A245" s="3">
        <v>2001807981</v>
      </c>
      <c r="B245" s="4">
        <v>8904223818942</v>
      </c>
      <c r="C245" s="3">
        <v>1</v>
      </c>
      <c r="D245" s="14">
        <f>VLOOKUP(B245,SKU_Company!A:B,2,FALSE)</f>
        <v>133</v>
      </c>
      <c r="E245" s="14">
        <f t="shared" si="3"/>
        <v>133</v>
      </c>
    </row>
    <row r="246" spans="1:5" x14ac:dyDescent="0.3">
      <c r="A246" s="3">
        <v>2001807981</v>
      </c>
      <c r="B246" s="4">
        <v>8904223818850</v>
      </c>
      <c r="C246" s="3">
        <v>1</v>
      </c>
      <c r="D246" s="14">
        <f>VLOOKUP(B246,SKU_Company!A:B,2,FALSE)</f>
        <v>240</v>
      </c>
      <c r="E246" s="14">
        <f t="shared" si="3"/>
        <v>240</v>
      </c>
    </row>
    <row r="247" spans="1:5" x14ac:dyDescent="0.3">
      <c r="A247" s="3">
        <v>2001807976</v>
      </c>
      <c r="B247" s="4">
        <v>8904223819468</v>
      </c>
      <c r="C247" s="3">
        <v>1</v>
      </c>
      <c r="D247" s="14">
        <f>VLOOKUP(B247,SKU_Company!A:B,2,FALSE)</f>
        <v>240</v>
      </c>
      <c r="E247" s="14">
        <f t="shared" si="3"/>
        <v>240</v>
      </c>
    </row>
    <row r="248" spans="1:5" x14ac:dyDescent="0.3">
      <c r="A248" s="3">
        <v>2001807976</v>
      </c>
      <c r="B248" s="4">
        <v>8904223818669</v>
      </c>
      <c r="C248" s="3">
        <v>1</v>
      </c>
      <c r="D248" s="14">
        <f>VLOOKUP(B248,SKU_Company!A:B,2,FALSE)</f>
        <v>240</v>
      </c>
      <c r="E248" s="14">
        <f t="shared" si="3"/>
        <v>240</v>
      </c>
    </row>
    <row r="249" spans="1:5" x14ac:dyDescent="0.3">
      <c r="A249" s="3">
        <v>2001807976</v>
      </c>
      <c r="B249" s="4">
        <v>8904223818683</v>
      </c>
      <c r="C249" s="3">
        <v>1</v>
      </c>
      <c r="D249" s="14">
        <f>VLOOKUP(B249,SKU_Company!A:B,2,FALSE)</f>
        <v>121</v>
      </c>
      <c r="E249" s="14">
        <f t="shared" si="3"/>
        <v>121</v>
      </c>
    </row>
    <row r="250" spans="1:5" x14ac:dyDescent="0.3">
      <c r="A250" s="3">
        <v>2001807976</v>
      </c>
      <c r="B250" s="4">
        <v>8904223818713</v>
      </c>
      <c r="C250" s="3">
        <v>1</v>
      </c>
      <c r="D250" s="14">
        <f>VLOOKUP(B250,SKU_Company!A:B,2,FALSE)</f>
        <v>120</v>
      </c>
      <c r="E250" s="14">
        <f t="shared" si="3"/>
        <v>120</v>
      </c>
    </row>
    <row r="251" spans="1:5" x14ac:dyDescent="0.3">
      <c r="A251" s="3">
        <v>2001807970</v>
      </c>
      <c r="B251" s="4">
        <v>8904223819321</v>
      </c>
      <c r="C251" s="3">
        <v>1</v>
      </c>
      <c r="D251" s="14">
        <f>VLOOKUP(B251,SKU_Company!A:B,2,FALSE)</f>
        <v>600</v>
      </c>
      <c r="E251" s="14">
        <f t="shared" si="3"/>
        <v>600</v>
      </c>
    </row>
    <row r="252" spans="1:5" x14ac:dyDescent="0.3">
      <c r="A252" s="3">
        <v>2001807970</v>
      </c>
      <c r="B252" s="4">
        <v>8904223818430</v>
      </c>
      <c r="C252" s="3">
        <v>1</v>
      </c>
      <c r="D252" s="14">
        <f>VLOOKUP(B252,SKU_Company!A:B,2,FALSE)</f>
        <v>165</v>
      </c>
      <c r="E252" s="14">
        <f t="shared" si="3"/>
        <v>165</v>
      </c>
    </row>
    <row r="253" spans="1:5" x14ac:dyDescent="0.3">
      <c r="A253" s="3">
        <v>2001807960</v>
      </c>
      <c r="B253" s="4">
        <v>8904223818669</v>
      </c>
      <c r="C253" s="3">
        <v>1</v>
      </c>
      <c r="D253" s="14">
        <f>VLOOKUP(B253,SKU_Company!A:B,2,FALSE)</f>
        <v>240</v>
      </c>
      <c r="E253" s="14">
        <f t="shared" si="3"/>
        <v>240</v>
      </c>
    </row>
    <row r="254" spans="1:5" x14ac:dyDescent="0.3">
      <c r="A254" s="3">
        <v>2001807960</v>
      </c>
      <c r="B254" s="4">
        <v>8904223819147</v>
      </c>
      <c r="C254" s="3">
        <v>1</v>
      </c>
      <c r="D254" s="14">
        <f>VLOOKUP(B254,SKU_Company!A:B,2,FALSE)</f>
        <v>240</v>
      </c>
      <c r="E254" s="14">
        <f t="shared" si="3"/>
        <v>240</v>
      </c>
    </row>
    <row r="255" spans="1:5" x14ac:dyDescent="0.3">
      <c r="A255" s="3">
        <v>2001807960</v>
      </c>
      <c r="B255" s="4">
        <v>8904223818850</v>
      </c>
      <c r="C255" s="3">
        <v>1</v>
      </c>
      <c r="D255" s="14">
        <f>VLOOKUP(B255,SKU_Company!A:B,2,FALSE)</f>
        <v>240</v>
      </c>
      <c r="E255" s="14">
        <f t="shared" si="3"/>
        <v>240</v>
      </c>
    </row>
    <row r="256" spans="1:5" x14ac:dyDescent="0.3">
      <c r="A256" s="3">
        <v>2001807960</v>
      </c>
      <c r="B256" s="4">
        <v>8904223819505</v>
      </c>
      <c r="C256" s="3">
        <v>1</v>
      </c>
      <c r="D256" s="14">
        <f>VLOOKUP(B256,SKU_Company!A:B,2,FALSE)</f>
        <v>210</v>
      </c>
      <c r="E256" s="14">
        <f t="shared" si="3"/>
        <v>210</v>
      </c>
    </row>
    <row r="257" spans="1:5" x14ac:dyDescent="0.3">
      <c r="A257" s="3">
        <v>2001807956</v>
      </c>
      <c r="B257" s="4">
        <v>8904223818706</v>
      </c>
      <c r="C257" s="3">
        <v>1</v>
      </c>
      <c r="D257" s="14">
        <f>VLOOKUP(B257,SKU_Company!A:B,2,FALSE)</f>
        <v>127</v>
      </c>
      <c r="E257" s="14">
        <f t="shared" si="3"/>
        <v>127</v>
      </c>
    </row>
    <row r="258" spans="1:5" x14ac:dyDescent="0.3">
      <c r="A258" s="3">
        <v>2001807956</v>
      </c>
      <c r="B258" s="4">
        <v>8904223818942</v>
      </c>
      <c r="C258" s="3">
        <v>1</v>
      </c>
      <c r="D258" s="14">
        <f>VLOOKUP(B258,SKU_Company!A:B,2,FALSE)</f>
        <v>133</v>
      </c>
      <c r="E258" s="14">
        <f t="shared" si="3"/>
        <v>133</v>
      </c>
    </row>
    <row r="259" spans="1:5" x14ac:dyDescent="0.3">
      <c r="A259" s="3">
        <v>2001807956</v>
      </c>
      <c r="B259" s="4">
        <v>8904223818850</v>
      </c>
      <c r="C259" s="3">
        <v>1</v>
      </c>
      <c r="D259" s="14">
        <f>VLOOKUP(B259,SKU_Company!A:B,2,FALSE)</f>
        <v>240</v>
      </c>
      <c r="E259" s="14">
        <f t="shared" ref="E259:E322" si="4">D259*C259</f>
        <v>240</v>
      </c>
    </row>
    <row r="260" spans="1:5" x14ac:dyDescent="0.3">
      <c r="A260" s="3">
        <v>2001807956</v>
      </c>
      <c r="B260" s="4">
        <v>8904223819246</v>
      </c>
      <c r="C260" s="3">
        <v>2</v>
      </c>
      <c r="D260" s="14">
        <f>VLOOKUP(B260,SKU_Company!A:B,2,FALSE)</f>
        <v>290</v>
      </c>
      <c r="E260" s="14">
        <f t="shared" si="4"/>
        <v>580</v>
      </c>
    </row>
    <row r="261" spans="1:5" x14ac:dyDescent="0.3">
      <c r="A261" s="3">
        <v>2001807931</v>
      </c>
      <c r="B261" s="4">
        <v>8904223818706</v>
      </c>
      <c r="C261" s="3">
        <v>1</v>
      </c>
      <c r="D261" s="14">
        <f>VLOOKUP(B261,SKU_Company!A:B,2,FALSE)</f>
        <v>127</v>
      </c>
      <c r="E261" s="14">
        <f t="shared" si="4"/>
        <v>127</v>
      </c>
    </row>
    <row r="262" spans="1:5" x14ac:dyDescent="0.3">
      <c r="A262" s="3">
        <v>2001807931</v>
      </c>
      <c r="B262" s="4">
        <v>8904223818850</v>
      </c>
      <c r="C262" s="3">
        <v>1</v>
      </c>
      <c r="D262" s="14">
        <f>VLOOKUP(B262,SKU_Company!A:B,2,FALSE)</f>
        <v>240</v>
      </c>
      <c r="E262" s="14">
        <f t="shared" si="4"/>
        <v>240</v>
      </c>
    </row>
    <row r="263" spans="1:5" x14ac:dyDescent="0.3">
      <c r="A263" s="3">
        <v>2001807931</v>
      </c>
      <c r="B263" s="4">
        <v>8904223819468</v>
      </c>
      <c r="C263" s="3">
        <v>1</v>
      </c>
      <c r="D263" s="14">
        <f>VLOOKUP(B263,SKU_Company!A:B,2,FALSE)</f>
        <v>240</v>
      </c>
      <c r="E263" s="14">
        <f t="shared" si="4"/>
        <v>240</v>
      </c>
    </row>
    <row r="264" spans="1:5" x14ac:dyDescent="0.3">
      <c r="A264" s="3">
        <v>2001807930</v>
      </c>
      <c r="B264" s="4">
        <v>8904223819468</v>
      </c>
      <c r="C264" s="3">
        <v>1</v>
      </c>
      <c r="D264" s="14">
        <f>VLOOKUP(B264,SKU_Company!A:B,2,FALSE)</f>
        <v>240</v>
      </c>
      <c r="E264" s="14">
        <f t="shared" si="4"/>
        <v>240</v>
      </c>
    </row>
    <row r="265" spans="1:5" x14ac:dyDescent="0.3">
      <c r="A265" s="3">
        <v>2001807852</v>
      </c>
      <c r="B265" s="4">
        <v>8904223818706</v>
      </c>
      <c r="C265" s="3">
        <v>1</v>
      </c>
      <c r="D265" s="14">
        <f>VLOOKUP(B265,SKU_Company!A:B,2,FALSE)</f>
        <v>127</v>
      </c>
      <c r="E265" s="14">
        <f t="shared" si="4"/>
        <v>127</v>
      </c>
    </row>
    <row r="266" spans="1:5" x14ac:dyDescent="0.3">
      <c r="A266" s="3">
        <v>2001807852</v>
      </c>
      <c r="B266" s="4">
        <v>8904223818942</v>
      </c>
      <c r="C266" s="3">
        <v>1</v>
      </c>
      <c r="D266" s="14">
        <f>VLOOKUP(B266,SKU_Company!A:B,2,FALSE)</f>
        <v>133</v>
      </c>
      <c r="E266" s="14">
        <f t="shared" si="4"/>
        <v>133</v>
      </c>
    </row>
    <row r="267" spans="1:5" x14ac:dyDescent="0.3">
      <c r="A267" s="3">
        <v>2001807852</v>
      </c>
      <c r="B267" s="4">
        <v>8904223818850</v>
      </c>
      <c r="C267" s="3">
        <v>1</v>
      </c>
      <c r="D267" s="14">
        <f>VLOOKUP(B267,SKU_Company!A:B,2,FALSE)</f>
        <v>240</v>
      </c>
      <c r="E267" s="14">
        <f t="shared" si="4"/>
        <v>240</v>
      </c>
    </row>
    <row r="268" spans="1:5" x14ac:dyDescent="0.3">
      <c r="A268" s="3">
        <v>2001807814</v>
      </c>
      <c r="B268" s="4">
        <v>8904223818706</v>
      </c>
      <c r="C268" s="3">
        <v>1</v>
      </c>
      <c r="D268" s="14">
        <f>VLOOKUP(B268,SKU_Company!A:B,2,FALSE)</f>
        <v>127</v>
      </c>
      <c r="E268" s="14">
        <f t="shared" si="4"/>
        <v>127</v>
      </c>
    </row>
    <row r="269" spans="1:5" x14ac:dyDescent="0.3">
      <c r="A269" s="3">
        <v>2001807814</v>
      </c>
      <c r="B269" s="4">
        <v>8904223818850</v>
      </c>
      <c r="C269" s="3">
        <v>1</v>
      </c>
      <c r="D269" s="14">
        <f>VLOOKUP(B269,SKU_Company!A:B,2,FALSE)</f>
        <v>240</v>
      </c>
      <c r="E269" s="14">
        <f t="shared" si="4"/>
        <v>240</v>
      </c>
    </row>
    <row r="270" spans="1:5" x14ac:dyDescent="0.3">
      <c r="A270" s="3">
        <v>2001807814</v>
      </c>
      <c r="B270" s="4">
        <v>8904223819468</v>
      </c>
      <c r="C270" s="3">
        <v>1</v>
      </c>
      <c r="D270" s="14">
        <f>VLOOKUP(B270,SKU_Company!A:B,2,FALSE)</f>
        <v>240</v>
      </c>
      <c r="E270" s="14">
        <f t="shared" si="4"/>
        <v>240</v>
      </c>
    </row>
    <row r="271" spans="1:5" x14ac:dyDescent="0.3">
      <c r="A271" s="3">
        <v>2001807785</v>
      </c>
      <c r="B271" s="4">
        <v>8904223818706</v>
      </c>
      <c r="C271" s="3">
        <v>1</v>
      </c>
      <c r="D271" s="14">
        <f>VLOOKUP(B271,SKU_Company!A:B,2,FALSE)</f>
        <v>127</v>
      </c>
      <c r="E271" s="14">
        <f t="shared" si="4"/>
        <v>127</v>
      </c>
    </row>
    <row r="272" spans="1:5" x14ac:dyDescent="0.3">
      <c r="A272" s="3">
        <v>2001807785</v>
      </c>
      <c r="B272" s="4">
        <v>8904223818942</v>
      </c>
      <c r="C272" s="3">
        <v>1</v>
      </c>
      <c r="D272" s="14">
        <f>VLOOKUP(B272,SKU_Company!A:B,2,FALSE)</f>
        <v>133</v>
      </c>
      <c r="E272" s="14">
        <f t="shared" si="4"/>
        <v>133</v>
      </c>
    </row>
    <row r="273" spans="1:5" x14ac:dyDescent="0.3">
      <c r="A273" s="3">
        <v>2001807785</v>
      </c>
      <c r="B273" s="4">
        <v>8904223818850</v>
      </c>
      <c r="C273" s="3">
        <v>1</v>
      </c>
      <c r="D273" s="14">
        <f>VLOOKUP(B273,SKU_Company!A:B,2,FALSE)</f>
        <v>240</v>
      </c>
      <c r="E273" s="14">
        <f t="shared" si="4"/>
        <v>240</v>
      </c>
    </row>
    <row r="274" spans="1:5" x14ac:dyDescent="0.3">
      <c r="A274" s="3">
        <v>2001807613</v>
      </c>
      <c r="B274" s="4">
        <v>8904223819147</v>
      </c>
      <c r="C274" s="3">
        <v>1</v>
      </c>
      <c r="D274" s="14">
        <f>VLOOKUP(B274,SKU_Company!A:B,2,FALSE)</f>
        <v>240</v>
      </c>
      <c r="E274" s="14">
        <f t="shared" si="4"/>
        <v>240</v>
      </c>
    </row>
    <row r="275" spans="1:5" x14ac:dyDescent="0.3">
      <c r="A275" s="3">
        <v>2001807613</v>
      </c>
      <c r="B275" s="4">
        <v>8904223819468</v>
      </c>
      <c r="C275" s="3">
        <v>1</v>
      </c>
      <c r="D275" s="14">
        <f>VLOOKUP(B275,SKU_Company!A:B,2,FALSE)</f>
        <v>240</v>
      </c>
      <c r="E275" s="14">
        <f t="shared" si="4"/>
        <v>240</v>
      </c>
    </row>
    <row r="276" spans="1:5" x14ac:dyDescent="0.3">
      <c r="A276" s="3">
        <v>2001807613</v>
      </c>
      <c r="B276" s="4">
        <v>8904223819277</v>
      </c>
      <c r="C276" s="3">
        <v>1</v>
      </c>
      <c r="D276" s="14">
        <f>VLOOKUP(B276,SKU_Company!A:B,2,FALSE)</f>
        <v>350</v>
      </c>
      <c r="E276" s="14">
        <f t="shared" si="4"/>
        <v>350</v>
      </c>
    </row>
    <row r="277" spans="1:5" x14ac:dyDescent="0.3">
      <c r="A277" s="3">
        <v>2001807415</v>
      </c>
      <c r="B277" s="4">
        <v>8904223818850</v>
      </c>
      <c r="C277" s="3">
        <v>2</v>
      </c>
      <c r="D277" s="14">
        <f>VLOOKUP(B277,SKU_Company!A:B,2,FALSE)</f>
        <v>240</v>
      </c>
      <c r="E277" s="14">
        <f t="shared" si="4"/>
        <v>480</v>
      </c>
    </row>
    <row r="278" spans="1:5" x14ac:dyDescent="0.3">
      <c r="A278" s="3">
        <v>2001807415</v>
      </c>
      <c r="B278" s="4">
        <v>8904223818713</v>
      </c>
      <c r="C278" s="3">
        <v>1</v>
      </c>
      <c r="D278" s="14">
        <f>VLOOKUP(B278,SKU_Company!A:B,2,FALSE)</f>
        <v>120</v>
      </c>
      <c r="E278" s="14">
        <f t="shared" si="4"/>
        <v>120</v>
      </c>
    </row>
    <row r="279" spans="1:5" x14ac:dyDescent="0.3">
      <c r="A279" s="3">
        <v>2001807415</v>
      </c>
      <c r="B279" s="4">
        <v>8904223819024</v>
      </c>
      <c r="C279" s="3">
        <v>4</v>
      </c>
      <c r="D279" s="14">
        <f>VLOOKUP(B279,SKU_Company!A:B,2,FALSE)</f>
        <v>112</v>
      </c>
      <c r="E279" s="14">
        <f t="shared" si="4"/>
        <v>448</v>
      </c>
    </row>
    <row r="280" spans="1:5" x14ac:dyDescent="0.3">
      <c r="A280" s="3">
        <v>2001807362</v>
      </c>
      <c r="B280" s="4">
        <v>8904223819031</v>
      </c>
      <c r="C280" s="3">
        <v>6</v>
      </c>
      <c r="D280" s="14">
        <f>VLOOKUP(B280,SKU_Company!A:B,2,FALSE)</f>
        <v>112</v>
      </c>
      <c r="E280" s="14">
        <f t="shared" si="4"/>
        <v>672</v>
      </c>
    </row>
    <row r="281" spans="1:5" x14ac:dyDescent="0.3">
      <c r="A281" s="3">
        <v>2001807362</v>
      </c>
      <c r="B281" s="4">
        <v>8904223819024</v>
      </c>
      <c r="C281" s="3">
        <v>6</v>
      </c>
      <c r="D281" s="14">
        <f>VLOOKUP(B281,SKU_Company!A:B,2,FALSE)</f>
        <v>112</v>
      </c>
      <c r="E281" s="14">
        <f t="shared" si="4"/>
        <v>672</v>
      </c>
    </row>
    <row r="282" spans="1:5" x14ac:dyDescent="0.3">
      <c r="A282" s="3">
        <v>2001807362</v>
      </c>
      <c r="B282" s="4">
        <v>8904223819291</v>
      </c>
      <c r="C282" s="3">
        <v>2</v>
      </c>
      <c r="D282" s="14">
        <f>VLOOKUP(B282,SKU_Company!A:B,2,FALSE)</f>
        <v>112</v>
      </c>
      <c r="E282" s="14">
        <f t="shared" si="4"/>
        <v>224</v>
      </c>
    </row>
    <row r="283" spans="1:5" x14ac:dyDescent="0.3">
      <c r="A283" s="3">
        <v>2001807362</v>
      </c>
      <c r="B283" s="4">
        <v>8904223819031</v>
      </c>
      <c r="C283" s="3">
        <v>2</v>
      </c>
      <c r="D283" s="14">
        <f>VLOOKUP(B283,SKU_Company!A:B,2,FALSE)</f>
        <v>112</v>
      </c>
      <c r="E283" s="14">
        <f t="shared" si="4"/>
        <v>224</v>
      </c>
    </row>
    <row r="284" spans="1:5" x14ac:dyDescent="0.3">
      <c r="A284" s="3">
        <v>2001807362</v>
      </c>
      <c r="B284" s="4">
        <v>8904223819024</v>
      </c>
      <c r="C284" s="3">
        <v>2</v>
      </c>
      <c r="D284" s="14">
        <f>VLOOKUP(B284,SKU_Company!A:B,2,FALSE)</f>
        <v>112</v>
      </c>
      <c r="E284" s="14">
        <f t="shared" si="4"/>
        <v>224</v>
      </c>
    </row>
    <row r="285" spans="1:5" x14ac:dyDescent="0.3">
      <c r="A285" s="3">
        <v>2001807329</v>
      </c>
      <c r="B285" s="4">
        <v>8904223818706</v>
      </c>
      <c r="C285" s="3">
        <v>1</v>
      </c>
      <c r="D285" s="14">
        <f>VLOOKUP(B285,SKU_Company!A:B,2,FALSE)</f>
        <v>127</v>
      </c>
      <c r="E285" s="14">
        <f t="shared" si="4"/>
        <v>127</v>
      </c>
    </row>
    <row r="286" spans="1:5" x14ac:dyDescent="0.3">
      <c r="A286" s="3">
        <v>2001807329</v>
      </c>
      <c r="B286" s="4">
        <v>8904223818942</v>
      </c>
      <c r="C286" s="3">
        <v>1</v>
      </c>
      <c r="D286" s="14">
        <f>VLOOKUP(B286,SKU_Company!A:B,2,FALSE)</f>
        <v>133</v>
      </c>
      <c r="E286" s="14">
        <f t="shared" si="4"/>
        <v>133</v>
      </c>
    </row>
    <row r="287" spans="1:5" x14ac:dyDescent="0.3">
      <c r="A287" s="3">
        <v>2001807329</v>
      </c>
      <c r="B287" s="4">
        <v>8904223818850</v>
      </c>
      <c r="C287" s="3">
        <v>1</v>
      </c>
      <c r="D287" s="14">
        <f>VLOOKUP(B287,SKU_Company!A:B,2,FALSE)</f>
        <v>240</v>
      </c>
      <c r="E287" s="14">
        <f t="shared" si="4"/>
        <v>240</v>
      </c>
    </row>
    <row r="288" spans="1:5" x14ac:dyDescent="0.3">
      <c r="A288" s="3">
        <v>2001807328</v>
      </c>
      <c r="B288" s="4">
        <v>8904223818997</v>
      </c>
      <c r="C288" s="3">
        <v>1</v>
      </c>
      <c r="D288" s="14">
        <f>VLOOKUP(B288,SKU_Company!A:B,2,FALSE)</f>
        <v>490</v>
      </c>
      <c r="E288" s="14">
        <f t="shared" si="4"/>
        <v>490</v>
      </c>
    </row>
    <row r="289" spans="1:5" x14ac:dyDescent="0.3">
      <c r="A289" s="3">
        <v>2001807290</v>
      </c>
      <c r="B289" s="4">
        <v>8904223818706</v>
      </c>
      <c r="C289" s="3">
        <v>1</v>
      </c>
      <c r="D289" s="14">
        <f>VLOOKUP(B289,SKU_Company!A:B,2,FALSE)</f>
        <v>127</v>
      </c>
      <c r="E289" s="14">
        <f t="shared" si="4"/>
        <v>127</v>
      </c>
    </row>
    <row r="290" spans="1:5" x14ac:dyDescent="0.3">
      <c r="A290" s="3">
        <v>2001807290</v>
      </c>
      <c r="B290" s="4">
        <v>8904223818942</v>
      </c>
      <c r="C290" s="3">
        <v>1</v>
      </c>
      <c r="D290" s="14">
        <f>VLOOKUP(B290,SKU_Company!A:B,2,FALSE)</f>
        <v>133</v>
      </c>
      <c r="E290" s="14">
        <f t="shared" si="4"/>
        <v>133</v>
      </c>
    </row>
    <row r="291" spans="1:5" x14ac:dyDescent="0.3">
      <c r="A291" s="3">
        <v>2001807290</v>
      </c>
      <c r="B291" s="4">
        <v>8904223818850</v>
      </c>
      <c r="C291" s="3">
        <v>1</v>
      </c>
      <c r="D291" s="14">
        <f>VLOOKUP(B291,SKU_Company!A:B,2,FALSE)</f>
        <v>240</v>
      </c>
      <c r="E291" s="14">
        <f t="shared" si="4"/>
        <v>240</v>
      </c>
    </row>
    <row r="292" spans="1:5" x14ac:dyDescent="0.3">
      <c r="A292" s="3">
        <v>2001807241</v>
      </c>
      <c r="B292" s="4">
        <v>8904223818706</v>
      </c>
      <c r="C292" s="3">
        <v>1</v>
      </c>
      <c r="D292" s="14">
        <f>VLOOKUP(B292,SKU_Company!A:B,2,FALSE)</f>
        <v>127</v>
      </c>
      <c r="E292" s="14">
        <f t="shared" si="4"/>
        <v>127</v>
      </c>
    </row>
    <row r="293" spans="1:5" x14ac:dyDescent="0.3">
      <c r="A293" s="3">
        <v>2001807241</v>
      </c>
      <c r="B293" s="4">
        <v>8904223818850</v>
      </c>
      <c r="C293" s="3">
        <v>1</v>
      </c>
      <c r="D293" s="14">
        <f>VLOOKUP(B293,SKU_Company!A:B,2,FALSE)</f>
        <v>240</v>
      </c>
      <c r="E293" s="14">
        <f t="shared" si="4"/>
        <v>240</v>
      </c>
    </row>
    <row r="294" spans="1:5" x14ac:dyDescent="0.3">
      <c r="A294" s="3">
        <v>2001807241</v>
      </c>
      <c r="B294" s="4">
        <v>8904223819468</v>
      </c>
      <c r="C294" s="3">
        <v>1</v>
      </c>
      <c r="D294" s="14">
        <f>VLOOKUP(B294,SKU_Company!A:B,2,FALSE)</f>
        <v>240</v>
      </c>
      <c r="E294" s="14">
        <f t="shared" si="4"/>
        <v>240</v>
      </c>
    </row>
    <row r="295" spans="1:5" x14ac:dyDescent="0.3">
      <c r="A295" s="3">
        <v>2001807186</v>
      </c>
      <c r="B295" s="4">
        <v>8904223818706</v>
      </c>
      <c r="C295" s="3">
        <v>1</v>
      </c>
      <c r="D295" s="14">
        <f>VLOOKUP(B295,SKU_Company!A:B,2,FALSE)</f>
        <v>127</v>
      </c>
      <c r="E295" s="14">
        <f t="shared" si="4"/>
        <v>127</v>
      </c>
    </row>
    <row r="296" spans="1:5" x14ac:dyDescent="0.3">
      <c r="A296" s="3">
        <v>2001807186</v>
      </c>
      <c r="B296" s="4">
        <v>8904223818942</v>
      </c>
      <c r="C296" s="3">
        <v>1</v>
      </c>
      <c r="D296" s="14">
        <f>VLOOKUP(B296,SKU_Company!A:B,2,FALSE)</f>
        <v>133</v>
      </c>
      <c r="E296" s="14">
        <f t="shared" si="4"/>
        <v>133</v>
      </c>
    </row>
    <row r="297" spans="1:5" x14ac:dyDescent="0.3">
      <c r="A297" s="3">
        <v>2001807186</v>
      </c>
      <c r="B297" s="4">
        <v>8904223818850</v>
      </c>
      <c r="C297" s="3">
        <v>1</v>
      </c>
      <c r="D297" s="14">
        <f>VLOOKUP(B297,SKU_Company!A:B,2,FALSE)</f>
        <v>240</v>
      </c>
      <c r="E297" s="14">
        <f t="shared" si="4"/>
        <v>240</v>
      </c>
    </row>
    <row r="298" spans="1:5" x14ac:dyDescent="0.3">
      <c r="A298" s="3">
        <v>2001807084</v>
      </c>
      <c r="B298" s="4">
        <v>8904223818706</v>
      </c>
      <c r="C298" s="3">
        <v>1</v>
      </c>
      <c r="D298" s="14">
        <f>VLOOKUP(B298,SKU_Company!A:B,2,FALSE)</f>
        <v>127</v>
      </c>
      <c r="E298" s="14">
        <f t="shared" si="4"/>
        <v>127</v>
      </c>
    </row>
    <row r="299" spans="1:5" x14ac:dyDescent="0.3">
      <c r="A299" s="3">
        <v>2001807084</v>
      </c>
      <c r="B299" s="4">
        <v>8904223818942</v>
      </c>
      <c r="C299" s="3">
        <v>1</v>
      </c>
      <c r="D299" s="14">
        <f>VLOOKUP(B299,SKU_Company!A:B,2,FALSE)</f>
        <v>133</v>
      </c>
      <c r="E299" s="14">
        <f t="shared" si="4"/>
        <v>133</v>
      </c>
    </row>
    <row r="300" spans="1:5" x14ac:dyDescent="0.3">
      <c r="A300" s="3">
        <v>2001807084</v>
      </c>
      <c r="B300" s="4">
        <v>8904223818850</v>
      </c>
      <c r="C300" s="3">
        <v>1</v>
      </c>
      <c r="D300" s="14">
        <f>VLOOKUP(B300,SKU_Company!A:B,2,FALSE)</f>
        <v>240</v>
      </c>
      <c r="E300" s="14">
        <f t="shared" si="4"/>
        <v>240</v>
      </c>
    </row>
    <row r="301" spans="1:5" x14ac:dyDescent="0.3">
      <c r="A301" s="3">
        <v>2001807058</v>
      </c>
      <c r="B301" s="4">
        <v>8904223819239</v>
      </c>
      <c r="C301" s="3">
        <v>1</v>
      </c>
      <c r="D301" s="14">
        <f>VLOOKUP(B301,SKU_Company!A:B,2,FALSE)</f>
        <v>290</v>
      </c>
      <c r="E301" s="14">
        <f t="shared" si="4"/>
        <v>290</v>
      </c>
    </row>
    <row r="302" spans="1:5" x14ac:dyDescent="0.3">
      <c r="A302" s="3">
        <v>2001807058</v>
      </c>
      <c r="B302" s="4">
        <v>8904223819246</v>
      </c>
      <c r="C302" s="3">
        <v>1</v>
      </c>
      <c r="D302" s="14">
        <f>VLOOKUP(B302,SKU_Company!A:B,2,FALSE)</f>
        <v>290</v>
      </c>
      <c r="E302" s="14">
        <f t="shared" si="4"/>
        <v>290</v>
      </c>
    </row>
    <row r="303" spans="1:5" x14ac:dyDescent="0.3">
      <c r="A303" s="3">
        <v>2001807058</v>
      </c>
      <c r="B303" s="4">
        <v>8904223819253</v>
      </c>
      <c r="C303" s="3">
        <v>1</v>
      </c>
      <c r="D303" s="14">
        <f>VLOOKUP(B303,SKU_Company!A:B,2,FALSE)</f>
        <v>290</v>
      </c>
      <c r="E303" s="14">
        <f t="shared" si="4"/>
        <v>290</v>
      </c>
    </row>
    <row r="304" spans="1:5" x14ac:dyDescent="0.3">
      <c r="A304" s="3">
        <v>2001807058</v>
      </c>
      <c r="B304" s="4">
        <v>8904223818713</v>
      </c>
      <c r="C304" s="3">
        <v>1</v>
      </c>
      <c r="D304" s="14">
        <f>VLOOKUP(B304,SKU_Company!A:B,2,FALSE)</f>
        <v>120</v>
      </c>
      <c r="E304" s="14">
        <f t="shared" si="4"/>
        <v>120</v>
      </c>
    </row>
    <row r="305" spans="1:5" x14ac:dyDescent="0.3">
      <c r="A305" s="3">
        <v>2001807058</v>
      </c>
      <c r="B305" s="4">
        <v>8904223817273</v>
      </c>
      <c r="C305" s="3">
        <v>1</v>
      </c>
      <c r="D305" s="14">
        <f>VLOOKUP(B305,SKU_Company!A:B,2,FALSE)</f>
        <v>65</v>
      </c>
      <c r="E305" s="14">
        <f t="shared" si="4"/>
        <v>65</v>
      </c>
    </row>
    <row r="306" spans="1:5" x14ac:dyDescent="0.3">
      <c r="A306" s="3">
        <v>2001807058</v>
      </c>
      <c r="B306" s="4">
        <v>8904223818751</v>
      </c>
      <c r="C306" s="3">
        <v>1</v>
      </c>
      <c r="D306" s="14">
        <f>VLOOKUP(B306,SKU_Company!A:B,2,FALSE)</f>
        <v>113</v>
      </c>
      <c r="E306" s="14">
        <f t="shared" si="4"/>
        <v>113</v>
      </c>
    </row>
    <row r="307" spans="1:5" x14ac:dyDescent="0.3">
      <c r="A307" s="3">
        <v>2001807036</v>
      </c>
      <c r="B307" s="4">
        <v>8904223819291</v>
      </c>
      <c r="C307" s="3">
        <v>4</v>
      </c>
      <c r="D307" s="14">
        <f>VLOOKUP(B307,SKU_Company!A:B,2,FALSE)</f>
        <v>112</v>
      </c>
      <c r="E307" s="14">
        <f t="shared" si="4"/>
        <v>448</v>
      </c>
    </row>
    <row r="308" spans="1:5" x14ac:dyDescent="0.3">
      <c r="A308" s="3">
        <v>2001807036</v>
      </c>
      <c r="B308" s="4">
        <v>8904223819031</v>
      </c>
      <c r="C308" s="3">
        <v>4</v>
      </c>
      <c r="D308" s="14">
        <f>VLOOKUP(B308,SKU_Company!A:B,2,FALSE)</f>
        <v>112</v>
      </c>
      <c r="E308" s="14">
        <f t="shared" si="4"/>
        <v>448</v>
      </c>
    </row>
    <row r="309" spans="1:5" x14ac:dyDescent="0.3">
      <c r="A309" s="3">
        <v>2001807036</v>
      </c>
      <c r="B309" s="4">
        <v>8904223819024</v>
      </c>
      <c r="C309" s="3">
        <v>4</v>
      </c>
      <c r="D309" s="14">
        <f>VLOOKUP(B309,SKU_Company!A:B,2,FALSE)</f>
        <v>112</v>
      </c>
      <c r="E309" s="14">
        <f t="shared" si="4"/>
        <v>448</v>
      </c>
    </row>
    <row r="310" spans="1:5" x14ac:dyDescent="0.3">
      <c r="A310" s="3">
        <v>2001807036</v>
      </c>
      <c r="B310" s="4">
        <v>8904223819017</v>
      </c>
      <c r="C310" s="3">
        <v>1</v>
      </c>
      <c r="D310" s="14">
        <f>VLOOKUP(B310,SKU_Company!A:B,2,FALSE)</f>
        <v>115</v>
      </c>
      <c r="E310" s="14">
        <f t="shared" si="4"/>
        <v>115</v>
      </c>
    </row>
    <row r="311" spans="1:5" x14ac:dyDescent="0.3">
      <c r="A311" s="3">
        <v>2001807012</v>
      </c>
      <c r="B311" s="4">
        <v>8904223819468</v>
      </c>
      <c r="C311" s="3">
        <v>1</v>
      </c>
      <c r="D311" s="14">
        <f>VLOOKUP(B311,SKU_Company!A:B,2,FALSE)</f>
        <v>240</v>
      </c>
      <c r="E311" s="14">
        <f t="shared" si="4"/>
        <v>240</v>
      </c>
    </row>
    <row r="312" spans="1:5" x14ac:dyDescent="0.3">
      <c r="A312" s="3">
        <v>2001807004</v>
      </c>
      <c r="B312" s="4">
        <v>8904223818706</v>
      </c>
      <c r="C312" s="3">
        <v>1</v>
      </c>
      <c r="D312" s="14">
        <f>VLOOKUP(B312,SKU_Company!A:B,2,FALSE)</f>
        <v>127</v>
      </c>
      <c r="E312" s="14">
        <f t="shared" si="4"/>
        <v>127</v>
      </c>
    </row>
    <row r="313" spans="1:5" x14ac:dyDescent="0.3">
      <c r="A313" s="3">
        <v>2001807004</v>
      </c>
      <c r="B313" s="4">
        <v>8904223818942</v>
      </c>
      <c r="C313" s="3">
        <v>1</v>
      </c>
      <c r="D313" s="14">
        <f>VLOOKUP(B313,SKU_Company!A:B,2,FALSE)</f>
        <v>133</v>
      </c>
      <c r="E313" s="14">
        <f t="shared" si="4"/>
        <v>133</v>
      </c>
    </row>
    <row r="314" spans="1:5" x14ac:dyDescent="0.3">
      <c r="A314" s="3">
        <v>2001807004</v>
      </c>
      <c r="B314" s="4">
        <v>8904223818850</v>
      </c>
      <c r="C314" s="3">
        <v>1</v>
      </c>
      <c r="D314" s="14">
        <f>VLOOKUP(B314,SKU_Company!A:B,2,FALSE)</f>
        <v>240</v>
      </c>
      <c r="E314" s="14">
        <f t="shared" si="4"/>
        <v>240</v>
      </c>
    </row>
    <row r="315" spans="1:5" x14ac:dyDescent="0.3">
      <c r="A315" s="3">
        <v>2001806968</v>
      </c>
      <c r="B315" s="4">
        <v>8904223818706</v>
      </c>
      <c r="C315" s="3">
        <v>1</v>
      </c>
      <c r="D315" s="14">
        <f>VLOOKUP(B315,SKU_Company!A:B,2,FALSE)</f>
        <v>127</v>
      </c>
      <c r="E315" s="14">
        <f t="shared" si="4"/>
        <v>127</v>
      </c>
    </row>
    <row r="316" spans="1:5" x14ac:dyDescent="0.3">
      <c r="A316" s="3">
        <v>2001806968</v>
      </c>
      <c r="B316" s="4">
        <v>8904223818942</v>
      </c>
      <c r="C316" s="3">
        <v>1</v>
      </c>
      <c r="D316" s="14">
        <f>VLOOKUP(B316,SKU_Company!A:B,2,FALSE)</f>
        <v>133</v>
      </c>
      <c r="E316" s="14">
        <f t="shared" si="4"/>
        <v>133</v>
      </c>
    </row>
    <row r="317" spans="1:5" x14ac:dyDescent="0.3">
      <c r="A317" s="3">
        <v>2001806968</v>
      </c>
      <c r="B317" s="4">
        <v>8904223818850</v>
      </c>
      <c r="C317" s="3">
        <v>1</v>
      </c>
      <c r="D317" s="14">
        <f>VLOOKUP(B317,SKU_Company!A:B,2,FALSE)</f>
        <v>240</v>
      </c>
      <c r="E317" s="14">
        <f t="shared" si="4"/>
        <v>240</v>
      </c>
    </row>
    <row r="318" spans="1:5" x14ac:dyDescent="0.3">
      <c r="A318" s="3">
        <v>2001806885</v>
      </c>
      <c r="B318" s="4">
        <v>8904223819499</v>
      </c>
      <c r="C318" s="3">
        <v>2</v>
      </c>
      <c r="D318" s="14">
        <f>VLOOKUP(B318,SKU_Company!A:B,2,FALSE)</f>
        <v>210</v>
      </c>
      <c r="E318" s="14">
        <f t="shared" si="4"/>
        <v>420</v>
      </c>
    </row>
    <row r="319" spans="1:5" x14ac:dyDescent="0.3">
      <c r="A319" s="3">
        <v>2001806885</v>
      </c>
      <c r="B319" s="4">
        <v>8904223819499</v>
      </c>
      <c r="C319" s="3">
        <v>2</v>
      </c>
      <c r="D319" s="14">
        <f>VLOOKUP(B319,SKU_Company!A:B,2,FALSE)</f>
        <v>210</v>
      </c>
      <c r="E319" s="14">
        <f t="shared" si="4"/>
        <v>420</v>
      </c>
    </row>
    <row r="320" spans="1:5" x14ac:dyDescent="0.3">
      <c r="A320" s="3">
        <v>2001806828</v>
      </c>
      <c r="B320" s="4">
        <v>8904223818706</v>
      </c>
      <c r="C320" s="3">
        <v>1</v>
      </c>
      <c r="D320" s="14">
        <f>VLOOKUP(B320,SKU_Company!A:B,2,FALSE)</f>
        <v>127</v>
      </c>
      <c r="E320" s="14">
        <f t="shared" si="4"/>
        <v>127</v>
      </c>
    </row>
    <row r="321" spans="1:5" x14ac:dyDescent="0.3">
      <c r="A321" s="3">
        <v>2001806828</v>
      </c>
      <c r="B321" s="4">
        <v>8904223818942</v>
      </c>
      <c r="C321" s="3">
        <v>1</v>
      </c>
      <c r="D321" s="14">
        <f>VLOOKUP(B321,SKU_Company!A:B,2,FALSE)</f>
        <v>133</v>
      </c>
      <c r="E321" s="14">
        <f t="shared" si="4"/>
        <v>133</v>
      </c>
    </row>
    <row r="322" spans="1:5" x14ac:dyDescent="0.3">
      <c r="A322" s="3">
        <v>2001806828</v>
      </c>
      <c r="B322" s="4">
        <v>8904223818850</v>
      </c>
      <c r="C322" s="3">
        <v>1</v>
      </c>
      <c r="D322" s="14">
        <f>VLOOKUP(B322,SKU_Company!A:B,2,FALSE)</f>
        <v>240</v>
      </c>
      <c r="E322" s="14">
        <f t="shared" si="4"/>
        <v>240</v>
      </c>
    </row>
    <row r="323" spans="1:5" x14ac:dyDescent="0.3">
      <c r="A323" s="3">
        <v>2001806823</v>
      </c>
      <c r="B323" s="4">
        <v>8904223818706</v>
      </c>
      <c r="C323" s="3">
        <v>1</v>
      </c>
      <c r="D323" s="14">
        <f>VLOOKUP(B323,SKU_Company!A:B,2,FALSE)</f>
        <v>127</v>
      </c>
      <c r="E323" s="14">
        <f t="shared" ref="E323:E386" si="5">D323*C323</f>
        <v>127</v>
      </c>
    </row>
    <row r="324" spans="1:5" x14ac:dyDescent="0.3">
      <c r="A324" s="3">
        <v>2001806801</v>
      </c>
      <c r="B324" s="4">
        <v>8904223818850</v>
      </c>
      <c r="C324" s="3">
        <v>1</v>
      </c>
      <c r="D324" s="14">
        <f>VLOOKUP(B324,SKU_Company!A:B,2,FALSE)</f>
        <v>240</v>
      </c>
      <c r="E324" s="14">
        <f t="shared" si="5"/>
        <v>240</v>
      </c>
    </row>
    <row r="325" spans="1:5" x14ac:dyDescent="0.3">
      <c r="A325" s="3">
        <v>2001806801</v>
      </c>
      <c r="B325" s="4">
        <v>8904223818683</v>
      </c>
      <c r="C325" s="3">
        <v>1</v>
      </c>
      <c r="D325" s="14">
        <f>VLOOKUP(B325,SKU_Company!A:B,2,FALSE)</f>
        <v>121</v>
      </c>
      <c r="E325" s="14">
        <f t="shared" si="5"/>
        <v>121</v>
      </c>
    </row>
    <row r="326" spans="1:5" x14ac:dyDescent="0.3">
      <c r="A326" s="3">
        <v>2001806776</v>
      </c>
      <c r="B326" s="4">
        <v>8904223818706</v>
      </c>
      <c r="C326" s="3">
        <v>1</v>
      </c>
      <c r="D326" s="14">
        <f>VLOOKUP(B326,SKU_Company!A:B,2,FALSE)</f>
        <v>127</v>
      </c>
      <c r="E326" s="14">
        <f t="shared" si="5"/>
        <v>127</v>
      </c>
    </row>
    <row r="327" spans="1:5" x14ac:dyDescent="0.3">
      <c r="A327" s="3">
        <v>2001806776</v>
      </c>
      <c r="B327" s="4">
        <v>8904223818638</v>
      </c>
      <c r="C327" s="3">
        <v>2</v>
      </c>
      <c r="D327" s="14">
        <f>VLOOKUP(B327,SKU_Company!A:B,2,FALSE)</f>
        <v>137</v>
      </c>
      <c r="E327" s="14">
        <f t="shared" si="5"/>
        <v>274</v>
      </c>
    </row>
    <row r="328" spans="1:5" x14ac:dyDescent="0.3">
      <c r="A328" s="3">
        <v>2001806776</v>
      </c>
      <c r="B328" s="4">
        <v>8904223819505</v>
      </c>
      <c r="C328" s="3">
        <v>1</v>
      </c>
      <c r="D328" s="14">
        <f>VLOOKUP(B328,SKU_Company!A:B,2,FALSE)</f>
        <v>210</v>
      </c>
      <c r="E328" s="14">
        <f t="shared" si="5"/>
        <v>210</v>
      </c>
    </row>
    <row r="329" spans="1:5" x14ac:dyDescent="0.3">
      <c r="A329" s="3">
        <v>2001806768</v>
      </c>
      <c r="B329" s="4">
        <v>8904223819512</v>
      </c>
      <c r="C329" s="3">
        <v>4</v>
      </c>
      <c r="D329" s="14">
        <f>VLOOKUP(B329,SKU_Company!A:B,2,FALSE)</f>
        <v>210</v>
      </c>
      <c r="E329" s="14">
        <f t="shared" si="5"/>
        <v>840</v>
      </c>
    </row>
    <row r="330" spans="1:5" x14ac:dyDescent="0.3">
      <c r="A330" s="3">
        <v>2001806735</v>
      </c>
      <c r="B330" s="4">
        <v>8904223818706</v>
      </c>
      <c r="C330" s="3">
        <v>1</v>
      </c>
      <c r="D330" s="14">
        <f>VLOOKUP(B330,SKU_Company!A:B,2,FALSE)</f>
        <v>127</v>
      </c>
      <c r="E330" s="14">
        <f t="shared" si="5"/>
        <v>127</v>
      </c>
    </row>
    <row r="331" spans="1:5" x14ac:dyDescent="0.3">
      <c r="A331" s="3">
        <v>2001806735</v>
      </c>
      <c r="B331" s="4">
        <v>8904223818942</v>
      </c>
      <c r="C331" s="3">
        <v>1</v>
      </c>
      <c r="D331" s="14">
        <f>VLOOKUP(B331,SKU_Company!A:B,2,FALSE)</f>
        <v>133</v>
      </c>
      <c r="E331" s="14">
        <f t="shared" si="5"/>
        <v>133</v>
      </c>
    </row>
    <row r="332" spans="1:5" x14ac:dyDescent="0.3">
      <c r="A332" s="3">
        <v>2001806735</v>
      </c>
      <c r="B332" s="4">
        <v>8904223818850</v>
      </c>
      <c r="C332" s="3">
        <v>1</v>
      </c>
      <c r="D332" s="14">
        <f>VLOOKUP(B332,SKU_Company!A:B,2,FALSE)</f>
        <v>240</v>
      </c>
      <c r="E332" s="14">
        <f t="shared" si="5"/>
        <v>240</v>
      </c>
    </row>
    <row r="333" spans="1:5" x14ac:dyDescent="0.3">
      <c r="A333" s="3">
        <v>2001806733</v>
      </c>
      <c r="B333" s="4">
        <v>8904223819031</v>
      </c>
      <c r="C333" s="3">
        <v>1</v>
      </c>
      <c r="D333" s="14">
        <f>VLOOKUP(B333,SKU_Company!A:B,2,FALSE)</f>
        <v>112</v>
      </c>
      <c r="E333" s="14">
        <f t="shared" si="5"/>
        <v>112</v>
      </c>
    </row>
    <row r="334" spans="1:5" x14ac:dyDescent="0.3">
      <c r="A334" s="3">
        <v>2001806733</v>
      </c>
      <c r="B334" s="4">
        <v>8904223818430</v>
      </c>
      <c r="C334" s="3">
        <v>1</v>
      </c>
      <c r="D334" s="14">
        <f>VLOOKUP(B334,SKU_Company!A:B,2,FALSE)</f>
        <v>165</v>
      </c>
      <c r="E334" s="14">
        <f t="shared" si="5"/>
        <v>165</v>
      </c>
    </row>
    <row r="335" spans="1:5" x14ac:dyDescent="0.3">
      <c r="A335" s="3">
        <v>2001806733</v>
      </c>
      <c r="B335" s="4">
        <v>8904223818850</v>
      </c>
      <c r="C335" s="3">
        <v>1</v>
      </c>
      <c r="D335" s="14">
        <f>VLOOKUP(B335,SKU_Company!A:B,2,FALSE)</f>
        <v>240</v>
      </c>
      <c r="E335" s="14">
        <f t="shared" si="5"/>
        <v>240</v>
      </c>
    </row>
    <row r="336" spans="1:5" x14ac:dyDescent="0.3">
      <c r="A336" s="3">
        <v>2001806733</v>
      </c>
      <c r="B336" s="4">
        <v>8904223819512</v>
      </c>
      <c r="C336" s="3">
        <v>1</v>
      </c>
      <c r="D336" s="14">
        <f>VLOOKUP(B336,SKU_Company!A:B,2,FALSE)</f>
        <v>210</v>
      </c>
      <c r="E336" s="14">
        <f t="shared" si="5"/>
        <v>210</v>
      </c>
    </row>
    <row r="337" spans="1:5" x14ac:dyDescent="0.3">
      <c r="A337" s="3">
        <v>2001806733</v>
      </c>
      <c r="B337" s="4">
        <v>8904223819468</v>
      </c>
      <c r="C337" s="3">
        <v>1</v>
      </c>
      <c r="D337" s="14">
        <f>VLOOKUP(B337,SKU_Company!A:B,2,FALSE)</f>
        <v>240</v>
      </c>
      <c r="E337" s="14">
        <f t="shared" si="5"/>
        <v>240</v>
      </c>
    </row>
    <row r="338" spans="1:5" x14ac:dyDescent="0.3">
      <c r="A338" s="3">
        <v>2001806726</v>
      </c>
      <c r="B338" s="4">
        <v>8904223818706</v>
      </c>
      <c r="C338" s="3">
        <v>1</v>
      </c>
      <c r="D338" s="14">
        <f>VLOOKUP(B338,SKU_Company!A:B,2,FALSE)</f>
        <v>127</v>
      </c>
      <c r="E338" s="14">
        <f t="shared" si="5"/>
        <v>127</v>
      </c>
    </row>
    <row r="339" spans="1:5" x14ac:dyDescent="0.3">
      <c r="A339" s="3">
        <v>2001806726</v>
      </c>
      <c r="B339" s="4">
        <v>8904223818942</v>
      </c>
      <c r="C339" s="3">
        <v>1</v>
      </c>
      <c r="D339" s="14">
        <f>VLOOKUP(B339,SKU_Company!A:B,2,FALSE)</f>
        <v>133</v>
      </c>
      <c r="E339" s="14">
        <f t="shared" si="5"/>
        <v>133</v>
      </c>
    </row>
    <row r="340" spans="1:5" x14ac:dyDescent="0.3">
      <c r="A340" s="3">
        <v>2001806726</v>
      </c>
      <c r="B340" s="4">
        <v>8904223818850</v>
      </c>
      <c r="C340" s="3">
        <v>1</v>
      </c>
      <c r="D340" s="14">
        <f>VLOOKUP(B340,SKU_Company!A:B,2,FALSE)</f>
        <v>240</v>
      </c>
      <c r="E340" s="14">
        <f t="shared" si="5"/>
        <v>240</v>
      </c>
    </row>
    <row r="341" spans="1:5" x14ac:dyDescent="0.3">
      <c r="A341" s="3">
        <v>2001806686</v>
      </c>
      <c r="B341" s="4">
        <v>8904223819468</v>
      </c>
      <c r="C341" s="3">
        <v>1</v>
      </c>
      <c r="D341" s="14">
        <f>VLOOKUP(B341,SKU_Company!A:B,2,FALSE)</f>
        <v>240</v>
      </c>
      <c r="E341" s="14">
        <f t="shared" si="5"/>
        <v>240</v>
      </c>
    </row>
    <row r="342" spans="1:5" x14ac:dyDescent="0.3">
      <c r="A342" s="3">
        <v>2001806652</v>
      </c>
      <c r="B342" s="4">
        <v>8904223818706</v>
      </c>
      <c r="C342" s="3">
        <v>1</v>
      </c>
      <c r="D342" s="14">
        <f>VLOOKUP(B342,SKU_Company!A:B,2,FALSE)</f>
        <v>127</v>
      </c>
      <c r="E342" s="14">
        <f t="shared" si="5"/>
        <v>127</v>
      </c>
    </row>
    <row r="343" spans="1:5" x14ac:dyDescent="0.3">
      <c r="A343" s="3">
        <v>2001806652</v>
      </c>
      <c r="B343" s="4">
        <v>8904223818942</v>
      </c>
      <c r="C343" s="3">
        <v>1</v>
      </c>
      <c r="D343" s="14">
        <f>VLOOKUP(B343,SKU_Company!A:B,2,FALSE)</f>
        <v>133</v>
      </c>
      <c r="E343" s="14">
        <f t="shared" si="5"/>
        <v>133</v>
      </c>
    </row>
    <row r="344" spans="1:5" x14ac:dyDescent="0.3">
      <c r="A344" s="3">
        <v>2001806652</v>
      </c>
      <c r="B344" s="4">
        <v>8904223818850</v>
      </c>
      <c r="C344" s="3">
        <v>1</v>
      </c>
      <c r="D344" s="14">
        <f>VLOOKUP(B344,SKU_Company!A:B,2,FALSE)</f>
        <v>240</v>
      </c>
      <c r="E344" s="14">
        <f t="shared" si="5"/>
        <v>240</v>
      </c>
    </row>
    <row r="345" spans="1:5" x14ac:dyDescent="0.3">
      <c r="A345" s="3">
        <v>2001806616</v>
      </c>
      <c r="B345" s="4">
        <v>8904223818669</v>
      </c>
      <c r="C345" s="3">
        <v>1</v>
      </c>
      <c r="D345" s="14">
        <f>VLOOKUP(B345,SKU_Company!A:B,2,FALSE)</f>
        <v>240</v>
      </c>
      <c r="E345" s="14">
        <f t="shared" si="5"/>
        <v>240</v>
      </c>
    </row>
    <row r="346" spans="1:5" x14ac:dyDescent="0.3">
      <c r="A346" s="3">
        <v>2001806616</v>
      </c>
      <c r="B346" s="4">
        <v>8904223818683</v>
      </c>
      <c r="C346" s="3">
        <v>1</v>
      </c>
      <c r="D346" s="14">
        <f>VLOOKUP(B346,SKU_Company!A:B,2,FALSE)</f>
        <v>121</v>
      </c>
      <c r="E346" s="14">
        <f t="shared" si="5"/>
        <v>121</v>
      </c>
    </row>
    <row r="347" spans="1:5" x14ac:dyDescent="0.3">
      <c r="A347" s="3">
        <v>2001806616</v>
      </c>
      <c r="B347" s="4">
        <v>8904223818935</v>
      </c>
      <c r="C347" s="3">
        <v>1</v>
      </c>
      <c r="D347" s="14">
        <f>VLOOKUP(B347,SKU_Company!A:B,2,FALSE)</f>
        <v>120</v>
      </c>
      <c r="E347" s="14">
        <f t="shared" si="5"/>
        <v>120</v>
      </c>
    </row>
    <row r="348" spans="1:5" x14ac:dyDescent="0.3">
      <c r="A348" s="3">
        <v>2001806616</v>
      </c>
      <c r="B348" s="4">
        <v>8904223818713</v>
      </c>
      <c r="C348" s="3">
        <v>1</v>
      </c>
      <c r="D348" s="14">
        <f>VLOOKUP(B348,SKU_Company!A:B,2,FALSE)</f>
        <v>120</v>
      </c>
      <c r="E348" s="14">
        <f t="shared" si="5"/>
        <v>120</v>
      </c>
    </row>
    <row r="349" spans="1:5" x14ac:dyDescent="0.3">
      <c r="A349" s="3">
        <v>2001806616</v>
      </c>
      <c r="B349" s="4">
        <v>8904223819024</v>
      </c>
      <c r="C349" s="3">
        <v>1</v>
      </c>
      <c r="D349" s="14">
        <f>VLOOKUP(B349,SKU_Company!A:B,2,FALSE)</f>
        <v>112</v>
      </c>
      <c r="E349" s="14">
        <f t="shared" si="5"/>
        <v>112</v>
      </c>
    </row>
    <row r="350" spans="1:5" x14ac:dyDescent="0.3">
      <c r="A350" s="3">
        <v>2001806616</v>
      </c>
      <c r="B350" s="4">
        <v>8904223819123</v>
      </c>
      <c r="C350" s="3">
        <v>1</v>
      </c>
      <c r="D350" s="14">
        <f>VLOOKUP(B350,SKU_Company!A:B,2,FALSE)</f>
        <v>250</v>
      </c>
      <c r="E350" s="14">
        <f t="shared" si="5"/>
        <v>250</v>
      </c>
    </row>
    <row r="351" spans="1:5" x14ac:dyDescent="0.3">
      <c r="A351" s="3">
        <v>2001806575</v>
      </c>
      <c r="B351" s="4">
        <v>8904223818706</v>
      </c>
      <c r="C351" s="3">
        <v>1</v>
      </c>
      <c r="D351" s="14">
        <f>VLOOKUP(B351,SKU_Company!A:B,2,FALSE)</f>
        <v>127</v>
      </c>
      <c r="E351" s="14">
        <f t="shared" si="5"/>
        <v>127</v>
      </c>
    </row>
    <row r="352" spans="1:5" x14ac:dyDescent="0.3">
      <c r="A352" s="3">
        <v>2001806575</v>
      </c>
      <c r="B352" s="4">
        <v>8904223818942</v>
      </c>
      <c r="C352" s="3">
        <v>1</v>
      </c>
      <c r="D352" s="14">
        <f>VLOOKUP(B352,SKU_Company!A:B,2,FALSE)</f>
        <v>133</v>
      </c>
      <c r="E352" s="14">
        <f t="shared" si="5"/>
        <v>133</v>
      </c>
    </row>
    <row r="353" spans="1:5" x14ac:dyDescent="0.3">
      <c r="A353" s="3">
        <v>2001806575</v>
      </c>
      <c r="B353" s="4">
        <v>8904223818850</v>
      </c>
      <c r="C353" s="3">
        <v>1</v>
      </c>
      <c r="D353" s="14">
        <f>VLOOKUP(B353,SKU_Company!A:B,2,FALSE)</f>
        <v>240</v>
      </c>
      <c r="E353" s="14">
        <f t="shared" si="5"/>
        <v>240</v>
      </c>
    </row>
    <row r="354" spans="1:5" x14ac:dyDescent="0.3">
      <c r="A354" s="3">
        <v>2001806567</v>
      </c>
      <c r="B354" s="4">
        <v>8904223818591</v>
      </c>
      <c r="C354" s="3">
        <v>1</v>
      </c>
      <c r="D354" s="14">
        <f>VLOOKUP(B354,SKU_Company!A:B,2,FALSE)</f>
        <v>120</v>
      </c>
      <c r="E354" s="14">
        <f t="shared" si="5"/>
        <v>120</v>
      </c>
    </row>
    <row r="355" spans="1:5" x14ac:dyDescent="0.3">
      <c r="A355" s="3">
        <v>2001806567</v>
      </c>
      <c r="B355" s="4">
        <v>8904223816214</v>
      </c>
      <c r="C355" s="3">
        <v>1</v>
      </c>
      <c r="D355" s="14">
        <f>VLOOKUP(B355,SKU_Company!A:B,2,FALSE)</f>
        <v>120</v>
      </c>
      <c r="E355" s="14">
        <f t="shared" si="5"/>
        <v>120</v>
      </c>
    </row>
    <row r="356" spans="1:5" x14ac:dyDescent="0.3">
      <c r="A356" s="3">
        <v>2001806567</v>
      </c>
      <c r="B356" s="4">
        <v>8904223819024</v>
      </c>
      <c r="C356" s="3">
        <v>1</v>
      </c>
      <c r="D356" s="14">
        <f>VLOOKUP(B356,SKU_Company!A:B,2,FALSE)</f>
        <v>112</v>
      </c>
      <c r="E356" s="14">
        <f t="shared" si="5"/>
        <v>112</v>
      </c>
    </row>
    <row r="357" spans="1:5" x14ac:dyDescent="0.3">
      <c r="A357" s="3">
        <v>2001806567</v>
      </c>
      <c r="B357" s="4">
        <v>8904223819253</v>
      </c>
      <c r="C357" s="3">
        <v>1</v>
      </c>
      <c r="D357" s="14">
        <f>VLOOKUP(B357,SKU_Company!A:B,2,FALSE)</f>
        <v>290</v>
      </c>
      <c r="E357" s="14">
        <f t="shared" si="5"/>
        <v>290</v>
      </c>
    </row>
    <row r="358" spans="1:5" x14ac:dyDescent="0.3">
      <c r="A358" s="3">
        <v>2001806567</v>
      </c>
      <c r="B358" s="4">
        <v>8904223815804</v>
      </c>
      <c r="C358" s="3">
        <v>1</v>
      </c>
      <c r="D358" s="14">
        <f>VLOOKUP(B358,SKU_Company!A:B,2,FALSE)</f>
        <v>160</v>
      </c>
      <c r="E358" s="14">
        <f t="shared" si="5"/>
        <v>160</v>
      </c>
    </row>
    <row r="359" spans="1:5" x14ac:dyDescent="0.3">
      <c r="A359" s="3">
        <v>2001806567</v>
      </c>
      <c r="B359" s="4">
        <v>8904223818577</v>
      </c>
      <c r="C359" s="3">
        <v>1</v>
      </c>
      <c r="D359" s="14">
        <f>VLOOKUP(B359,SKU_Company!A:B,2,FALSE)</f>
        <v>150</v>
      </c>
      <c r="E359" s="14">
        <f t="shared" si="5"/>
        <v>150</v>
      </c>
    </row>
    <row r="360" spans="1:5" x14ac:dyDescent="0.3">
      <c r="A360" s="3">
        <v>2001806547</v>
      </c>
      <c r="B360" s="4">
        <v>8904223818706</v>
      </c>
      <c r="C360" s="3">
        <v>1</v>
      </c>
      <c r="D360" s="14">
        <f>VLOOKUP(B360,SKU_Company!A:B,2,FALSE)</f>
        <v>127</v>
      </c>
      <c r="E360" s="14">
        <f t="shared" si="5"/>
        <v>127</v>
      </c>
    </row>
    <row r="361" spans="1:5" x14ac:dyDescent="0.3">
      <c r="A361" s="3">
        <v>2001806533</v>
      </c>
      <c r="B361" s="4">
        <v>8904223818706</v>
      </c>
      <c r="C361" s="3">
        <v>1</v>
      </c>
      <c r="D361" s="14">
        <f>VLOOKUP(B361,SKU_Company!A:B,2,FALSE)</f>
        <v>127</v>
      </c>
      <c r="E361" s="14">
        <f t="shared" si="5"/>
        <v>127</v>
      </c>
    </row>
    <row r="362" spans="1:5" x14ac:dyDescent="0.3">
      <c r="A362" s="3">
        <v>2001806533</v>
      </c>
      <c r="B362" s="4">
        <v>8904223818942</v>
      </c>
      <c r="C362" s="3">
        <v>1</v>
      </c>
      <c r="D362" s="14">
        <f>VLOOKUP(B362,SKU_Company!A:B,2,FALSE)</f>
        <v>133</v>
      </c>
      <c r="E362" s="14">
        <f t="shared" si="5"/>
        <v>133</v>
      </c>
    </row>
    <row r="363" spans="1:5" x14ac:dyDescent="0.3">
      <c r="A363" s="3">
        <v>2001806533</v>
      </c>
      <c r="B363" s="4">
        <v>8904223818850</v>
      </c>
      <c r="C363" s="3">
        <v>1</v>
      </c>
      <c r="D363" s="14">
        <f>VLOOKUP(B363,SKU_Company!A:B,2,FALSE)</f>
        <v>240</v>
      </c>
      <c r="E363" s="14">
        <f t="shared" si="5"/>
        <v>240</v>
      </c>
    </row>
    <row r="364" spans="1:5" x14ac:dyDescent="0.3">
      <c r="A364" s="3">
        <v>2001806471</v>
      </c>
      <c r="B364" s="4">
        <v>8904223818706</v>
      </c>
      <c r="C364" s="3">
        <v>2</v>
      </c>
      <c r="D364" s="14">
        <f>VLOOKUP(B364,SKU_Company!A:B,2,FALSE)</f>
        <v>127</v>
      </c>
      <c r="E364" s="14">
        <f t="shared" si="5"/>
        <v>254</v>
      </c>
    </row>
    <row r="365" spans="1:5" x14ac:dyDescent="0.3">
      <c r="A365" s="3">
        <v>2001806471</v>
      </c>
      <c r="B365" s="4">
        <v>8904223818942</v>
      </c>
      <c r="C365" s="3">
        <v>2</v>
      </c>
      <c r="D365" s="14">
        <f>VLOOKUP(B365,SKU_Company!A:B,2,FALSE)</f>
        <v>133</v>
      </c>
      <c r="E365" s="14">
        <f t="shared" si="5"/>
        <v>266</v>
      </c>
    </row>
    <row r="366" spans="1:5" x14ac:dyDescent="0.3">
      <c r="A366" s="3">
        <v>2001806471</v>
      </c>
      <c r="B366" s="4">
        <v>8904223818850</v>
      </c>
      <c r="C366" s="3">
        <v>2</v>
      </c>
      <c r="D366" s="14">
        <f>VLOOKUP(B366,SKU_Company!A:B,2,FALSE)</f>
        <v>240</v>
      </c>
      <c r="E366" s="14">
        <f t="shared" si="5"/>
        <v>480</v>
      </c>
    </row>
    <row r="367" spans="1:5" x14ac:dyDescent="0.3">
      <c r="A367" s="3">
        <v>2001806471</v>
      </c>
      <c r="B367" s="4">
        <v>8904223818706</v>
      </c>
      <c r="C367" s="3">
        <v>1</v>
      </c>
      <c r="D367" s="14">
        <f>VLOOKUP(B367,SKU_Company!A:B,2,FALSE)</f>
        <v>127</v>
      </c>
      <c r="E367" s="14">
        <f t="shared" si="5"/>
        <v>127</v>
      </c>
    </row>
    <row r="368" spans="1:5" x14ac:dyDescent="0.3">
      <c r="A368" s="3">
        <v>2001806471</v>
      </c>
      <c r="B368" s="4">
        <v>8904223818942</v>
      </c>
      <c r="C368" s="3">
        <v>1</v>
      </c>
      <c r="D368" s="14">
        <f>VLOOKUP(B368,SKU_Company!A:B,2,FALSE)</f>
        <v>133</v>
      </c>
      <c r="E368" s="14">
        <f t="shared" si="5"/>
        <v>133</v>
      </c>
    </row>
    <row r="369" spans="1:5" x14ac:dyDescent="0.3">
      <c r="A369" s="3">
        <v>2001806471</v>
      </c>
      <c r="B369" s="4">
        <v>8904223818850</v>
      </c>
      <c r="C369" s="3">
        <v>1</v>
      </c>
      <c r="D369" s="14">
        <f>VLOOKUP(B369,SKU_Company!A:B,2,FALSE)</f>
        <v>240</v>
      </c>
      <c r="E369" s="14">
        <f t="shared" si="5"/>
        <v>240</v>
      </c>
    </row>
    <row r="370" spans="1:5" x14ac:dyDescent="0.3">
      <c r="A370" s="3">
        <v>2001806471</v>
      </c>
      <c r="B370" s="4">
        <v>8904223818683</v>
      </c>
      <c r="C370" s="3">
        <v>1</v>
      </c>
      <c r="D370" s="14">
        <f>VLOOKUP(B370,SKU_Company!A:B,2,FALSE)</f>
        <v>121</v>
      </c>
      <c r="E370" s="14">
        <f t="shared" si="5"/>
        <v>121</v>
      </c>
    </row>
    <row r="371" spans="1:5" x14ac:dyDescent="0.3">
      <c r="A371" s="3">
        <v>2001806458</v>
      </c>
      <c r="B371" s="4">
        <v>8904223819284</v>
      </c>
      <c r="C371" s="3">
        <v>1</v>
      </c>
      <c r="D371" s="14">
        <f>VLOOKUP(B371,SKU_Company!A:B,2,FALSE)</f>
        <v>350</v>
      </c>
      <c r="E371" s="14">
        <f t="shared" si="5"/>
        <v>350</v>
      </c>
    </row>
    <row r="372" spans="1:5" x14ac:dyDescent="0.3">
      <c r="A372" s="3">
        <v>2001806458</v>
      </c>
      <c r="B372" s="4">
        <v>8904223818478</v>
      </c>
      <c r="C372" s="3">
        <v>1</v>
      </c>
      <c r="D372" s="14">
        <f>VLOOKUP(B372,SKU_Company!A:B,2,FALSE)</f>
        <v>350</v>
      </c>
      <c r="E372" s="14">
        <f t="shared" si="5"/>
        <v>350</v>
      </c>
    </row>
    <row r="373" spans="1:5" x14ac:dyDescent="0.3">
      <c r="A373" s="3">
        <v>2001806446</v>
      </c>
      <c r="B373" s="4">
        <v>8904223818706</v>
      </c>
      <c r="C373" s="3">
        <v>1</v>
      </c>
      <c r="D373" s="14">
        <f>VLOOKUP(B373,SKU_Company!A:B,2,FALSE)</f>
        <v>127</v>
      </c>
      <c r="E373" s="14">
        <f t="shared" si="5"/>
        <v>127</v>
      </c>
    </row>
    <row r="374" spans="1:5" x14ac:dyDescent="0.3">
      <c r="A374" s="3">
        <v>2001806446</v>
      </c>
      <c r="B374" s="4">
        <v>8904223818942</v>
      </c>
      <c r="C374" s="3">
        <v>1</v>
      </c>
      <c r="D374" s="14">
        <f>VLOOKUP(B374,SKU_Company!A:B,2,FALSE)</f>
        <v>133</v>
      </c>
      <c r="E374" s="14">
        <f t="shared" si="5"/>
        <v>133</v>
      </c>
    </row>
    <row r="375" spans="1:5" x14ac:dyDescent="0.3">
      <c r="A375" s="3">
        <v>2001806446</v>
      </c>
      <c r="B375" s="4">
        <v>8904223818850</v>
      </c>
      <c r="C375" s="3">
        <v>1</v>
      </c>
      <c r="D375" s="14">
        <f>VLOOKUP(B375,SKU_Company!A:B,2,FALSE)</f>
        <v>240</v>
      </c>
      <c r="E375" s="14">
        <f t="shared" si="5"/>
        <v>240</v>
      </c>
    </row>
    <row r="376" spans="1:5" x14ac:dyDescent="0.3">
      <c r="A376" s="3">
        <v>2001806408</v>
      </c>
      <c r="B376" s="4">
        <v>8904223819437</v>
      </c>
      <c r="C376" s="3">
        <v>2</v>
      </c>
      <c r="D376" s="14">
        <f>VLOOKUP(B376,SKU_Company!A:B,2,FALSE)</f>
        <v>552</v>
      </c>
      <c r="E376" s="14">
        <f t="shared" si="5"/>
        <v>1104</v>
      </c>
    </row>
    <row r="377" spans="1:5" x14ac:dyDescent="0.3">
      <c r="A377" s="3">
        <v>2001806408</v>
      </c>
      <c r="B377" s="4">
        <v>8904223819352</v>
      </c>
      <c r="C377" s="3">
        <v>1</v>
      </c>
      <c r="D377" s="14">
        <f>VLOOKUP(B377,SKU_Company!A:B,2,FALSE)</f>
        <v>165</v>
      </c>
      <c r="E377" s="14">
        <f t="shared" si="5"/>
        <v>165</v>
      </c>
    </row>
    <row r="378" spans="1:5" x14ac:dyDescent="0.3">
      <c r="A378" s="3">
        <v>2001806408</v>
      </c>
      <c r="B378" s="4">
        <v>8904223819024</v>
      </c>
      <c r="C378" s="3">
        <v>8</v>
      </c>
      <c r="D378" s="14">
        <f>VLOOKUP(B378,SKU_Company!A:B,2,FALSE)</f>
        <v>112</v>
      </c>
      <c r="E378" s="14">
        <f t="shared" si="5"/>
        <v>896</v>
      </c>
    </row>
    <row r="379" spans="1:5" x14ac:dyDescent="0.3">
      <c r="A379" s="3">
        <v>2001806408</v>
      </c>
      <c r="B379" s="4">
        <v>8904223818874</v>
      </c>
      <c r="C379" s="3">
        <v>1</v>
      </c>
      <c r="D379" s="14">
        <f>VLOOKUP(B379,SKU_Company!A:B,2,FALSE)</f>
        <v>100</v>
      </c>
      <c r="E379" s="14">
        <f t="shared" si="5"/>
        <v>100</v>
      </c>
    </row>
    <row r="380" spans="1:5" x14ac:dyDescent="0.3">
      <c r="A380" s="3">
        <v>2001806338</v>
      </c>
      <c r="B380" s="4">
        <v>8904223818706</v>
      </c>
      <c r="C380" s="3">
        <v>1</v>
      </c>
      <c r="D380" s="14">
        <f>VLOOKUP(B380,SKU_Company!A:B,2,FALSE)</f>
        <v>127</v>
      </c>
      <c r="E380" s="14">
        <f t="shared" si="5"/>
        <v>127</v>
      </c>
    </row>
    <row r="381" spans="1:5" x14ac:dyDescent="0.3">
      <c r="A381" s="3">
        <v>2001806338</v>
      </c>
      <c r="B381" s="4">
        <v>8904223818942</v>
      </c>
      <c r="C381" s="3">
        <v>1</v>
      </c>
      <c r="D381" s="14">
        <f>VLOOKUP(B381,SKU_Company!A:B,2,FALSE)</f>
        <v>133</v>
      </c>
      <c r="E381" s="14">
        <f t="shared" si="5"/>
        <v>133</v>
      </c>
    </row>
    <row r="382" spans="1:5" x14ac:dyDescent="0.3">
      <c r="A382" s="3">
        <v>2001806338</v>
      </c>
      <c r="B382" s="4">
        <v>8904223818850</v>
      </c>
      <c r="C382" s="3">
        <v>1</v>
      </c>
      <c r="D382" s="14">
        <f>VLOOKUP(B382,SKU_Company!A:B,2,FALSE)</f>
        <v>240</v>
      </c>
      <c r="E382" s="14">
        <f t="shared" si="5"/>
        <v>240</v>
      </c>
    </row>
    <row r="383" spans="1:5" x14ac:dyDescent="0.3">
      <c r="A383" s="3">
        <v>2001806304</v>
      </c>
      <c r="B383" s="4">
        <v>8904223818706</v>
      </c>
      <c r="C383" s="3">
        <v>1</v>
      </c>
      <c r="D383" s="14">
        <f>VLOOKUP(B383,SKU_Company!A:B,2,FALSE)</f>
        <v>127</v>
      </c>
      <c r="E383" s="14">
        <f t="shared" si="5"/>
        <v>127</v>
      </c>
    </row>
    <row r="384" spans="1:5" x14ac:dyDescent="0.3">
      <c r="A384" s="3">
        <v>2001806304</v>
      </c>
      <c r="B384" s="4">
        <v>8904223818942</v>
      </c>
      <c r="C384" s="3">
        <v>1</v>
      </c>
      <c r="D384" s="14">
        <f>VLOOKUP(B384,SKU_Company!A:B,2,FALSE)</f>
        <v>133</v>
      </c>
      <c r="E384" s="14">
        <f t="shared" si="5"/>
        <v>133</v>
      </c>
    </row>
    <row r="385" spans="1:5" x14ac:dyDescent="0.3">
      <c r="A385" s="3">
        <v>2001806304</v>
      </c>
      <c r="B385" s="4">
        <v>8904223818850</v>
      </c>
      <c r="C385" s="3">
        <v>1</v>
      </c>
      <c r="D385" s="14">
        <f>VLOOKUP(B385,SKU_Company!A:B,2,FALSE)</f>
        <v>240</v>
      </c>
      <c r="E385" s="14">
        <f t="shared" si="5"/>
        <v>240</v>
      </c>
    </row>
    <row r="386" spans="1:5" x14ac:dyDescent="0.3">
      <c r="A386" s="3">
        <v>2001806273</v>
      </c>
      <c r="B386" s="4">
        <v>8904223819017</v>
      </c>
      <c r="C386" s="3">
        <v>1</v>
      </c>
      <c r="D386" s="14">
        <f>VLOOKUP(B386,SKU_Company!A:B,2,FALSE)</f>
        <v>115</v>
      </c>
      <c r="E386" s="14">
        <f t="shared" si="5"/>
        <v>115</v>
      </c>
    </row>
    <row r="387" spans="1:5" x14ac:dyDescent="0.3">
      <c r="A387" s="3">
        <v>2001806273</v>
      </c>
      <c r="B387" s="4">
        <v>8904223818706</v>
      </c>
      <c r="C387" s="3">
        <v>1</v>
      </c>
      <c r="D387" s="14">
        <f>VLOOKUP(B387,SKU_Company!A:B,2,FALSE)</f>
        <v>127</v>
      </c>
      <c r="E387" s="14">
        <f t="shared" ref="E387:E401" si="6">D387*C387</f>
        <v>127</v>
      </c>
    </row>
    <row r="388" spans="1:5" x14ac:dyDescent="0.3">
      <c r="A388" s="3">
        <v>2001806273</v>
      </c>
      <c r="B388" s="4">
        <v>8904223818942</v>
      </c>
      <c r="C388" s="3">
        <v>1</v>
      </c>
      <c r="D388" s="14">
        <f>VLOOKUP(B388,SKU_Company!A:B,2,FALSE)</f>
        <v>133</v>
      </c>
      <c r="E388" s="14">
        <f t="shared" si="6"/>
        <v>133</v>
      </c>
    </row>
    <row r="389" spans="1:5" x14ac:dyDescent="0.3">
      <c r="A389" s="3">
        <v>2001806273</v>
      </c>
      <c r="B389" s="4">
        <v>8904223818850</v>
      </c>
      <c r="C389" s="3">
        <v>1</v>
      </c>
      <c r="D389" s="14">
        <f>VLOOKUP(B389,SKU_Company!A:B,2,FALSE)</f>
        <v>240</v>
      </c>
      <c r="E389" s="14">
        <f t="shared" si="6"/>
        <v>240</v>
      </c>
    </row>
    <row r="390" spans="1:5" x14ac:dyDescent="0.3">
      <c r="A390" s="3">
        <v>2001806251</v>
      </c>
      <c r="B390" s="4">
        <v>8904223819161</v>
      </c>
      <c r="C390" s="3">
        <v>1</v>
      </c>
      <c r="D390" s="14">
        <f>VLOOKUP(B390,SKU_Company!A:B,2,FALSE)</f>
        <v>115</v>
      </c>
      <c r="E390" s="14">
        <f t="shared" si="6"/>
        <v>115</v>
      </c>
    </row>
    <row r="391" spans="1:5" x14ac:dyDescent="0.3">
      <c r="A391" s="3">
        <v>2001806251</v>
      </c>
      <c r="B391" s="4">
        <v>8904223819260</v>
      </c>
      <c r="C391" s="3">
        <v>1</v>
      </c>
      <c r="D391" s="14">
        <f>VLOOKUP(B391,SKU_Company!A:B,2,FALSE)</f>
        <v>130</v>
      </c>
      <c r="E391" s="14">
        <f t="shared" si="6"/>
        <v>130</v>
      </c>
    </row>
    <row r="392" spans="1:5" x14ac:dyDescent="0.3">
      <c r="A392" s="3">
        <v>2001806233</v>
      </c>
      <c r="B392" s="4">
        <v>8904223819161</v>
      </c>
      <c r="C392" s="3">
        <v>1</v>
      </c>
      <c r="D392" s="14">
        <f>VLOOKUP(B392,SKU_Company!A:B,2,FALSE)</f>
        <v>115</v>
      </c>
      <c r="E392" s="14">
        <f t="shared" si="6"/>
        <v>115</v>
      </c>
    </row>
    <row r="393" spans="1:5" x14ac:dyDescent="0.3">
      <c r="A393" s="3">
        <v>2001806233</v>
      </c>
      <c r="B393" s="4">
        <v>8904223819260</v>
      </c>
      <c r="C393" s="3">
        <v>1</v>
      </c>
      <c r="D393" s="14">
        <f>VLOOKUP(B393,SKU_Company!A:B,2,FALSE)</f>
        <v>130</v>
      </c>
      <c r="E393" s="14">
        <f t="shared" si="6"/>
        <v>130</v>
      </c>
    </row>
    <row r="394" spans="1:5" x14ac:dyDescent="0.3">
      <c r="A394" s="3">
        <v>2001806232</v>
      </c>
      <c r="B394" s="4">
        <v>8904223818645</v>
      </c>
      <c r="C394" s="3">
        <v>6</v>
      </c>
      <c r="D394" s="14">
        <f>VLOOKUP(B394,SKU_Company!A:B,2,FALSE)</f>
        <v>137</v>
      </c>
      <c r="E394" s="14">
        <f t="shared" si="6"/>
        <v>822</v>
      </c>
    </row>
    <row r="395" spans="1:5" x14ac:dyDescent="0.3">
      <c r="A395" s="3">
        <v>2001806232</v>
      </c>
      <c r="B395" s="4">
        <v>8904223819147</v>
      </c>
      <c r="C395" s="3">
        <v>2</v>
      </c>
      <c r="D395" s="14">
        <f>VLOOKUP(B395,SKU_Company!A:B,2,FALSE)</f>
        <v>240</v>
      </c>
      <c r="E395" s="14">
        <f t="shared" si="6"/>
        <v>480</v>
      </c>
    </row>
    <row r="396" spans="1:5" x14ac:dyDescent="0.3">
      <c r="A396" s="3">
        <v>2001806229</v>
      </c>
      <c r="B396" s="4">
        <v>8904223818706</v>
      </c>
      <c r="C396" s="3">
        <v>1</v>
      </c>
      <c r="D396" s="14">
        <f>VLOOKUP(B396,SKU_Company!A:B,2,FALSE)</f>
        <v>127</v>
      </c>
      <c r="E396" s="14">
        <f t="shared" si="6"/>
        <v>127</v>
      </c>
    </row>
    <row r="397" spans="1:5" x14ac:dyDescent="0.3">
      <c r="A397" s="3">
        <v>2001806229</v>
      </c>
      <c r="B397" s="4">
        <v>8904223818942</v>
      </c>
      <c r="C397" s="3">
        <v>1</v>
      </c>
      <c r="D397" s="14">
        <f>VLOOKUP(B397,SKU_Company!A:B,2,FALSE)</f>
        <v>133</v>
      </c>
      <c r="E397" s="14">
        <f t="shared" si="6"/>
        <v>133</v>
      </c>
    </row>
    <row r="398" spans="1:5" x14ac:dyDescent="0.3">
      <c r="A398" s="3">
        <v>2001806229</v>
      </c>
      <c r="B398" s="4">
        <v>8904223818850</v>
      </c>
      <c r="C398" s="3">
        <v>1</v>
      </c>
      <c r="D398" s="14">
        <f>VLOOKUP(B398,SKU_Company!A:B,2,FALSE)</f>
        <v>240</v>
      </c>
      <c r="E398" s="14">
        <f t="shared" si="6"/>
        <v>240</v>
      </c>
    </row>
    <row r="399" spans="1:5" x14ac:dyDescent="0.3">
      <c r="A399" s="3">
        <v>2001806226</v>
      </c>
      <c r="B399" s="4">
        <v>8904223818850</v>
      </c>
      <c r="C399" s="3">
        <v>2</v>
      </c>
      <c r="D399" s="14">
        <f>VLOOKUP(B399,SKU_Company!A:B,2,FALSE)</f>
        <v>240</v>
      </c>
      <c r="E399" s="14">
        <f t="shared" si="6"/>
        <v>480</v>
      </c>
    </row>
    <row r="400" spans="1:5" x14ac:dyDescent="0.3">
      <c r="A400" s="3">
        <v>2001806210</v>
      </c>
      <c r="B400" s="4">
        <v>8904223816214</v>
      </c>
      <c r="C400" s="3">
        <v>1</v>
      </c>
      <c r="D400" s="14">
        <f>VLOOKUP(B400,SKU_Company!A:B,2,FALSE)</f>
        <v>120</v>
      </c>
      <c r="E400" s="14">
        <f t="shared" si="6"/>
        <v>120</v>
      </c>
    </row>
    <row r="401" spans="1:5" x14ac:dyDescent="0.3">
      <c r="A401" s="3">
        <v>2001806210</v>
      </c>
      <c r="B401" s="4">
        <v>8904223818874</v>
      </c>
      <c r="C401" s="3">
        <v>1</v>
      </c>
      <c r="D401" s="14">
        <f>VLOOKUP(B401,SKU_Company!A:B,2,FALSE)</f>
        <v>100</v>
      </c>
      <c r="E401" s="14">
        <f t="shared" si="6"/>
        <v>100</v>
      </c>
    </row>
  </sheetData>
  <pageMargins left="0.7" right="0.7" top="0.75" bottom="0.75" header="0.3" footer="0.3"/>
  <pageSetup paperSize="258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91AA-DC2F-4138-BBCC-05ABDDE6B36F}">
  <dimension ref="A1:K3"/>
  <sheetViews>
    <sheetView workbookViewId="0">
      <selection activeCell="E14" sqref="E14"/>
    </sheetView>
  </sheetViews>
  <sheetFormatPr defaultRowHeight="14.4" x14ac:dyDescent="0.3"/>
  <cols>
    <col min="1" max="1" width="11" bestFit="1" customWidth="1"/>
    <col min="2" max="2" width="14.109375" bestFit="1" customWidth="1"/>
    <col min="3" max="3" width="22" bestFit="1" customWidth="1"/>
    <col min="4" max="4" width="21.33203125" bestFit="1" customWidth="1"/>
    <col min="5" max="5" width="35.44140625" bestFit="1" customWidth="1"/>
    <col min="6" max="6" width="38.77734375" bestFit="1" customWidth="1"/>
    <col min="7" max="7" width="19" bestFit="1" customWidth="1"/>
    <col min="8" max="8" width="36.44140625" bestFit="1" customWidth="1"/>
    <col min="9" max="9" width="25.77734375" bestFit="1" customWidth="1"/>
    <col min="10" max="10" width="34.33203125" bestFit="1" customWidth="1"/>
    <col min="11" max="11" width="52.33203125" bestFit="1" customWidth="1"/>
  </cols>
  <sheetData>
    <row r="1" spans="1:11" x14ac:dyDescent="0.3">
      <c r="A1" s="2" t="s">
        <v>27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</row>
    <row r="2" spans="1:11" x14ac:dyDescent="0.3">
      <c r="A2" s="1">
        <v>2001806232</v>
      </c>
      <c r="B2" s="5">
        <v>1091117222124</v>
      </c>
      <c r="C2" s="16">
        <v>1.3</v>
      </c>
      <c r="D2" s="1">
        <v>1.5</v>
      </c>
      <c r="E2" s="1">
        <v>1.3</v>
      </c>
      <c r="F2" s="1">
        <v>1.5</v>
      </c>
      <c r="G2" s="1" t="s">
        <v>57</v>
      </c>
      <c r="H2" s="1" t="s">
        <v>57</v>
      </c>
      <c r="I2" s="1">
        <v>135</v>
      </c>
      <c r="J2" s="1">
        <v>135</v>
      </c>
      <c r="K2" s="1">
        <v>0</v>
      </c>
    </row>
    <row r="3" spans="1:11" x14ac:dyDescent="0.3">
      <c r="A3" s="1">
        <v>2001806210</v>
      </c>
      <c r="B3" s="5">
        <v>1091117221940</v>
      </c>
      <c r="C3" s="1">
        <v>0.22</v>
      </c>
      <c r="D3" s="1">
        <v>0.5</v>
      </c>
      <c r="E3" s="1">
        <v>2.92</v>
      </c>
      <c r="F3" s="1">
        <v>3</v>
      </c>
      <c r="G3" s="1" t="s">
        <v>58</v>
      </c>
      <c r="H3" s="1" t="s">
        <v>58</v>
      </c>
      <c r="I3" s="1">
        <v>33</v>
      </c>
      <c r="J3" s="1">
        <v>174.5</v>
      </c>
      <c r="K3" s="1">
        <v>-141.5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7D7-BC9C-46D9-ACE8-EBACA31C928B}">
  <dimension ref="A6:C9"/>
  <sheetViews>
    <sheetView workbookViewId="0">
      <selection activeCell="B7" sqref="B7"/>
    </sheetView>
  </sheetViews>
  <sheetFormatPr defaultRowHeight="14.4" x14ac:dyDescent="0.3"/>
  <cols>
    <col min="1" max="1" width="29.88671875" bestFit="1" customWidth="1"/>
    <col min="2" max="2" width="11.77734375" customWidth="1"/>
    <col min="3" max="3" width="14.77734375" customWidth="1"/>
  </cols>
  <sheetData>
    <row r="6" spans="1:3" ht="22.2" customHeight="1" x14ac:dyDescent="0.3">
      <c r="A6" s="2"/>
      <c r="B6" s="12" t="s">
        <v>42</v>
      </c>
      <c r="C6" s="12" t="s">
        <v>43</v>
      </c>
    </row>
    <row r="7" spans="1:3" ht="21" customHeight="1" x14ac:dyDescent="0.3">
      <c r="A7" s="2" t="s">
        <v>44</v>
      </c>
      <c r="B7" s="2">
        <f>COUNTIF('Order Level Calculation_Company'!U:U,"=0")</f>
        <v>22</v>
      </c>
      <c r="C7" s="2">
        <f>SUMIF('Order Level Calculation_Company'!U:U,"=0",'Order Level Calculation_Company'!P:P)</f>
        <v>1826.8999999999999</v>
      </c>
    </row>
    <row r="8" spans="1:3" ht="24" customHeight="1" x14ac:dyDescent="0.3">
      <c r="A8" s="2" t="s">
        <v>45</v>
      </c>
      <c r="B8" s="2">
        <f>COUNTIF('Order Level Calculation_Company'!U:U,"&lt;0")</f>
        <v>79</v>
      </c>
      <c r="C8" s="2">
        <f>SUMIF('Order Level Calculation_Company'!U:U,"&lt;0",'Order Level Calculation_Company'!U:U)</f>
        <v>-4426.5999999999985</v>
      </c>
    </row>
    <row r="9" spans="1:3" ht="26.4" customHeight="1" x14ac:dyDescent="0.3">
      <c r="A9" s="2" t="s">
        <v>46</v>
      </c>
      <c r="B9" s="2">
        <f>COUNTIF('Order Level Calculation_Company'!U:U,"&gt;0")</f>
        <v>23</v>
      </c>
      <c r="C9" s="2">
        <f>SUMIF('Order Level Calculation_Company'!U:U,"&gt;0",'Order Level Calculation_Company'!U:U)</f>
        <v>575.0999999999998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6EB8-CBE4-4ACC-9E19-9A2088C3336B}">
  <dimension ref="A1:X125"/>
  <sheetViews>
    <sheetView tabSelected="1" topLeftCell="C1" workbookViewId="0">
      <selection activeCell="J2" sqref="J2"/>
    </sheetView>
  </sheetViews>
  <sheetFormatPr defaultRowHeight="13.8" x14ac:dyDescent="0.3"/>
  <cols>
    <col min="1" max="1" width="11.44140625" style="6" customWidth="1"/>
    <col min="2" max="2" width="14.77734375" style="6" customWidth="1"/>
    <col min="3" max="3" width="15" style="6" bestFit="1" customWidth="1"/>
    <col min="4" max="4" width="20.88671875" style="6" bestFit="1" customWidth="1"/>
    <col min="5" max="5" width="23" style="6" bestFit="1" customWidth="1"/>
    <col min="6" max="6" width="19.33203125" style="6" bestFit="1" customWidth="1"/>
    <col min="7" max="7" width="21.33203125" style="6" bestFit="1" customWidth="1"/>
    <col min="8" max="8" width="20.21875" style="6" bestFit="1" customWidth="1"/>
    <col min="9" max="9" width="20.5546875" style="6" bestFit="1" customWidth="1"/>
    <col min="10" max="10" width="19.5546875" style="6" bestFit="1" customWidth="1"/>
    <col min="11" max="11" width="18.5546875" style="6" bestFit="1" customWidth="1"/>
    <col min="12" max="12" width="21.77734375" style="6" bestFit="1" customWidth="1"/>
    <col min="13" max="13" width="25.109375" style="6" bestFit="1" customWidth="1"/>
    <col min="14" max="14" width="17.88671875" style="6" bestFit="1" customWidth="1"/>
    <col min="15" max="15" width="21.6640625" style="6" bestFit="1" customWidth="1"/>
    <col min="16" max="16" width="24.5546875" style="6" bestFit="1" customWidth="1"/>
    <col min="17" max="17" width="34" style="18" bestFit="1" customWidth="1"/>
    <col min="18" max="18" width="37.109375" style="6" bestFit="1" customWidth="1"/>
    <col min="19" max="19" width="35.21875" style="6" bestFit="1" customWidth="1"/>
    <col min="20" max="20" width="33.33203125" style="6" bestFit="1" customWidth="1"/>
    <col min="21" max="21" width="50.6640625" style="6" bestFit="1" customWidth="1"/>
    <col min="22" max="22" width="17" style="6" bestFit="1" customWidth="1"/>
    <col min="23" max="23" width="30" style="6" bestFit="1" customWidth="1"/>
    <col min="24" max="24" width="26.33203125" style="6" bestFit="1" customWidth="1"/>
    <col min="25" max="16384" width="8.88671875" style="6"/>
  </cols>
  <sheetData>
    <row r="1" spans="1:24" x14ac:dyDescent="0.3">
      <c r="A1" s="15" t="s">
        <v>61</v>
      </c>
      <c r="B1" s="15" t="s">
        <v>26</v>
      </c>
      <c r="C1" s="15" t="s">
        <v>21</v>
      </c>
      <c r="D1" s="15" t="s">
        <v>29</v>
      </c>
      <c r="E1" s="15" t="s">
        <v>62</v>
      </c>
      <c r="F1" s="15" t="s">
        <v>63</v>
      </c>
      <c r="G1" s="33" t="s">
        <v>48</v>
      </c>
      <c r="H1" s="15" t="s">
        <v>64</v>
      </c>
      <c r="I1" s="33" t="s">
        <v>49</v>
      </c>
      <c r="J1" s="15" t="s">
        <v>65</v>
      </c>
      <c r="K1" s="15" t="s">
        <v>66</v>
      </c>
      <c r="L1" s="15" t="s">
        <v>67</v>
      </c>
      <c r="M1" s="33" t="s">
        <v>68</v>
      </c>
      <c r="N1" s="15" t="s">
        <v>69</v>
      </c>
      <c r="O1" s="15" t="s">
        <v>70</v>
      </c>
      <c r="P1" s="33" t="s">
        <v>71</v>
      </c>
      <c r="Q1" s="31" t="s">
        <v>50</v>
      </c>
      <c r="R1" s="15" t="s">
        <v>51</v>
      </c>
      <c r="S1" s="15" t="s">
        <v>53</v>
      </c>
      <c r="T1" s="15" t="s">
        <v>72</v>
      </c>
      <c r="U1" s="33" t="s">
        <v>56</v>
      </c>
      <c r="V1" s="33" t="s">
        <v>73</v>
      </c>
      <c r="W1" s="33" t="s">
        <v>74</v>
      </c>
      <c r="X1" s="15" t="s">
        <v>75</v>
      </c>
    </row>
    <row r="2" spans="1:24" x14ac:dyDescent="0.3">
      <c r="A2" s="7">
        <v>2001806232</v>
      </c>
      <c r="B2" s="7">
        <v>1091117222124</v>
      </c>
      <c r="C2" s="6">
        <f>VLOOKUP(A2,'Invoice_Courier Company'!B:E,4,FALSE)</f>
        <v>507101</v>
      </c>
      <c r="D2" s="6" t="str">
        <f>VLOOKUP(A2,'Invoice_Courier Company'!B:G,6,FALSE)</f>
        <v>Forward charges</v>
      </c>
      <c r="E2" s="6" t="s">
        <v>76</v>
      </c>
      <c r="F2" s="6" t="str">
        <f>IF(D2="Forward and RTO charges","Yes","No")</f>
        <v>No</v>
      </c>
      <c r="G2" s="18">
        <f>SUMIFS('Order Report_Company X'!E:E,'Order Report_Company X'!A:A,A2)/1000</f>
        <v>1.302</v>
      </c>
      <c r="H2" s="18">
        <f>SUMIFS('Order Report_Company X'!E:E,'Order Report_Company X'!A:A,'Order Level Calculation_Company'!A2)</f>
        <v>1302</v>
      </c>
      <c r="I2" s="18" cm="1">
        <f t="array" ref="I2">_xlfn.IFS($G2&lt;=0.5,0.5,$G2&lt;=1,1,$G2&lt;=1.5,1.5,$G2&lt;=2,2,$G2&lt;=2.5,2.5,$G2&lt;=3,3,$G2&lt;=3.5,3.5,$G2&lt;=4,4)</f>
        <v>1.5</v>
      </c>
      <c r="J2" s="18" cm="1">
        <f t="array" ref="J2">_xlfn.IFS($H2&lt;=500,0.5,$H2&lt;=1000,1,$H2&lt;=1500,1.5,$H2&lt;=2000,2,$H2&lt;=2500,2.5,$H2&lt;=3000,3,$H2&lt;=3500,3.5,$H2&lt;=4000,4)*1000</f>
        <v>1500</v>
      </c>
      <c r="K2" s="6" t="str">
        <f>UPPER(VLOOKUP(C2,'Zones Pincode_Company X'!B:C,2,FALSE))</f>
        <v>D</v>
      </c>
      <c r="L2" s="18">
        <f>VLOOKUP(K2,'Rates_Courier Company'!$B$7:$C$12,2,0)</f>
        <v>45.4</v>
      </c>
      <c r="M2" s="18">
        <f>VLOOKUP(K2,'Rates_Courier Company'!$B$15:$C$20,2,FALSE)*(I2/0.5-1)</f>
        <v>89.6</v>
      </c>
      <c r="N2" s="6">
        <f>IF(F2="Yes",VLOOKUP(K2,'Rates_Courier Company'!$F$7:$G$12,2,0),0)</f>
        <v>0</v>
      </c>
      <c r="O2" s="6">
        <f>IF(F2="Yes",VLOOKUP(K2,'Rates_Courier Company'!$F$15:$G$20,2,0),0)*(I2/0.5 -1)</f>
        <v>0</v>
      </c>
      <c r="P2" s="18">
        <f>L2+M2+N2+O2</f>
        <v>135</v>
      </c>
      <c r="Q2" s="18">
        <f>VLOOKUP(A2,'Invoice_Courier Company'!B:C,2,0)</f>
        <v>1.3</v>
      </c>
      <c r="R2" s="18">
        <f>IF(Q2&lt;=0.5,0.5,IF(AND(Q2&gt;0.5,Q2&lt;=1),1,IF(AND(Q2&gt;1,Q2&lt;=1.5),1.5,IF(AND(Q2&gt;1.5,Q2&lt;=2),2,IF(AND(Q2&gt;2,Q2&lt;=2.5),2.5,3)))))</f>
        <v>1.5</v>
      </c>
      <c r="S2" s="6" t="str">
        <f>UPPER(VLOOKUP(A2,'Invoice_Courier Company'!B:G,5,FALSE))</f>
        <v>D</v>
      </c>
      <c r="T2" s="18">
        <f>VLOOKUP(A2,'Invoice_Courier Company'!B:H,7,0)</f>
        <v>135</v>
      </c>
      <c r="U2" s="18">
        <f>P2-T2</f>
        <v>0</v>
      </c>
      <c r="V2" s="32">
        <f>U2/P2</f>
        <v>0</v>
      </c>
      <c r="W2" s="18">
        <f>L2+M2</f>
        <v>135</v>
      </c>
      <c r="X2" s="6">
        <f>N2+O2</f>
        <v>0</v>
      </c>
    </row>
    <row r="3" spans="1:24" x14ac:dyDescent="0.3">
      <c r="A3" s="7">
        <v>2001806273</v>
      </c>
      <c r="B3" s="7">
        <v>1091117222194</v>
      </c>
      <c r="C3" s="6">
        <f>VLOOKUP(A3,'Invoice_Courier Company'!B:E,4,FALSE)</f>
        <v>486886</v>
      </c>
      <c r="D3" s="6" t="str">
        <f>VLOOKUP(A3,'Invoice_Courier Company'!B:G,6,FALSE)</f>
        <v>Forward charges</v>
      </c>
      <c r="E3" s="6" t="str">
        <f t="shared" ref="E3:E66" si="0">IF(D3="Forward charges","Yes","No")</f>
        <v>Yes</v>
      </c>
      <c r="F3" s="6" t="str">
        <f t="shared" ref="F3:F66" si="1">IF(D3="Forward and RTO charges","Yes","No")</f>
        <v>No</v>
      </c>
      <c r="G3" s="18">
        <f>SUMIFS('Order Report_Company X'!E:E,'Order Report_Company X'!A:A,A3)/1000</f>
        <v>0.61499999999999999</v>
      </c>
      <c r="H3" s="18">
        <f>SUMIFS('Order Report_Company X'!E:E,'Order Report_Company X'!A:A,'Order Level Calculation_Company'!A3)</f>
        <v>615</v>
      </c>
      <c r="I3" s="18" cm="1">
        <f t="array" ref="I3">_xlfn.IFS($G3&lt;=0.5,0.5,$G3&lt;=1,1,$G3&lt;=1.5,1.5,$G3&lt;=2,2,$G3&lt;=2.5,2.5,$G3&lt;=3,3,$G3&lt;=3.5,3.5,$G3&lt;=4,4)</f>
        <v>1</v>
      </c>
      <c r="J3" s="18" cm="1">
        <f t="array" ref="J3">_xlfn.IFS($H3&lt;=500,0.5,$H3&lt;=1000,1,$H3&lt;=1500,1.5,$H3&lt;=2000,2,$H3&lt;=2500,2.5,$H3&lt;=3000,3,$H3&lt;=3500,3.5,$H3&lt;=4000,4)*1000</f>
        <v>1000</v>
      </c>
      <c r="K3" s="6" t="str">
        <f>UPPER(VLOOKUP(C3,'Zones Pincode_Company X'!B:C,2,FALSE))</f>
        <v>D</v>
      </c>
      <c r="L3" s="18">
        <f>VLOOKUP(K3,'Rates_Courier Company'!$B$7:$C$12,2,0)</f>
        <v>45.4</v>
      </c>
      <c r="M3" s="18">
        <f>VLOOKUP(K3,'Rates_Courier Company'!$B$15:$C$20,2,FALSE)*(I3/0.5-1)</f>
        <v>44.8</v>
      </c>
      <c r="N3" s="6">
        <f>IF(F3="Yes",VLOOKUP(K3,'Rates_Courier Company'!$F$7:$G$12,2,0),0)</f>
        <v>0</v>
      </c>
      <c r="O3" s="6">
        <f>IF(F3="Yes",VLOOKUP(K3,'Rates_Courier Company'!$F$15:$G$20,2,0),0)*(I3/0.5 -1)</f>
        <v>0</v>
      </c>
      <c r="P3" s="18">
        <f t="shared" ref="P3:P66" si="2">L3+M3+N3+O3</f>
        <v>90.199999999999989</v>
      </c>
      <c r="Q3" s="18">
        <f>VLOOKUP(A3,'Invoice_Courier Company'!B:C,2,0)</f>
        <v>1</v>
      </c>
      <c r="R3" s="18">
        <f t="shared" ref="R3:R66" si="3">IF(Q3&lt;=0.5,0.5,IF(AND(Q3&gt;0.5,Q3&lt;=1),1,IF(AND(Q3&gt;1,Q3&lt;=1.5),1.5,IF(AND(Q3&gt;1.5,Q3&lt;=2),2,IF(AND(Q3&gt;2,Q3&lt;=2.5),2.5,3)))))</f>
        <v>1</v>
      </c>
      <c r="S3" s="6" t="str">
        <f>UPPER(VLOOKUP(A3,'Invoice_Courier Company'!B:G,5,FALSE))</f>
        <v>D</v>
      </c>
      <c r="T3" s="18">
        <f>VLOOKUP(A3,'Invoice_Courier Company'!B:H,7,0)</f>
        <v>90.2</v>
      </c>
      <c r="U3" s="18">
        <f t="shared" ref="U3:U66" si="4">P3-T3</f>
        <v>0</v>
      </c>
      <c r="V3" s="32">
        <f t="shared" ref="V3:V66" si="5">U3/P3</f>
        <v>0</v>
      </c>
      <c r="W3" s="18">
        <f t="shared" ref="W3:W66" si="6">L3+M3</f>
        <v>90.199999999999989</v>
      </c>
      <c r="X3" s="6">
        <f t="shared" ref="X3:X66" si="7">N3+O3</f>
        <v>0</v>
      </c>
    </row>
    <row r="4" spans="1:24" x14ac:dyDescent="0.3">
      <c r="A4" s="7">
        <v>2001806408</v>
      </c>
      <c r="B4" s="7">
        <v>1091117222931</v>
      </c>
      <c r="C4" s="6">
        <f>VLOOKUP(A4,'Invoice_Courier Company'!B:E,4,FALSE)</f>
        <v>532484</v>
      </c>
      <c r="D4" s="6" t="str">
        <f>VLOOKUP(A4,'Invoice_Courier Company'!B:G,6,FALSE)</f>
        <v>Forward charges</v>
      </c>
      <c r="E4" s="6" t="str">
        <f t="shared" si="0"/>
        <v>Yes</v>
      </c>
      <c r="F4" s="6" t="str">
        <f t="shared" si="1"/>
        <v>No</v>
      </c>
      <c r="G4" s="18">
        <f>SUMIFS('Order Report_Company X'!E:E,'Order Report_Company X'!A:A,A4)/1000</f>
        <v>2.2650000000000001</v>
      </c>
      <c r="H4" s="18">
        <f>SUMIFS('Order Report_Company X'!E:E,'Order Report_Company X'!A:A,'Order Level Calculation_Company'!A4)</f>
        <v>2265</v>
      </c>
      <c r="I4" s="18" cm="1">
        <f t="array" ref="I4">_xlfn.IFS($G4&lt;=0.5,0.5,$G4&lt;=1,1,$G4&lt;=1.5,1.5,$G4&lt;=2,2,$G4&lt;=2.5,2.5,$G4&lt;=3,3,$G4&lt;=3.5,3.5,$G4&lt;=4,4)</f>
        <v>2.5</v>
      </c>
      <c r="J4" s="18" cm="1">
        <f t="array" ref="J4">_xlfn.IFS($H4&lt;=500,0.5,$H4&lt;=1000,1,$H4&lt;=1500,1.5,$H4&lt;=2000,2,$H4&lt;=2500,2.5,$H4&lt;=3000,3,$H4&lt;=3500,3.5,$H4&lt;=4000,4)*1000</f>
        <v>2500</v>
      </c>
      <c r="K4" s="6" t="str">
        <f>UPPER(VLOOKUP(C4,'Zones Pincode_Company X'!B:C,2,FALSE))</f>
        <v>D</v>
      </c>
      <c r="L4" s="18">
        <f>VLOOKUP(K4,'Rates_Courier Company'!$B$7:$C$12,2,0)</f>
        <v>45.4</v>
      </c>
      <c r="M4" s="18">
        <f>VLOOKUP(K4,'Rates_Courier Company'!$B$15:$C$20,2,FALSE)*(I4/0.5-1)</f>
        <v>179.2</v>
      </c>
      <c r="N4" s="6">
        <f>IF(F4="Yes",VLOOKUP(K4,'Rates_Courier Company'!$F$7:$G$12,2,0),0)</f>
        <v>0</v>
      </c>
      <c r="O4" s="6">
        <f>IF(F4="Yes",VLOOKUP(K4,'Rates_Courier Company'!$F$15:$G$20,2,0),0)*(I4/0.5 -1)</f>
        <v>0</v>
      </c>
      <c r="P4" s="18">
        <f t="shared" si="2"/>
        <v>224.6</v>
      </c>
      <c r="Q4" s="18">
        <f>VLOOKUP(A4,'Invoice_Courier Company'!B:C,2,0)</f>
        <v>2.5</v>
      </c>
      <c r="R4" s="18">
        <f t="shared" si="3"/>
        <v>2.5</v>
      </c>
      <c r="S4" s="6" t="str">
        <f>UPPER(VLOOKUP(A4,'Invoice_Courier Company'!B:G,5,FALSE))</f>
        <v>D</v>
      </c>
      <c r="T4" s="18">
        <f>VLOOKUP(A4,'Invoice_Courier Company'!B:H,7,0)</f>
        <v>224.6</v>
      </c>
      <c r="U4" s="18">
        <f t="shared" si="4"/>
        <v>0</v>
      </c>
      <c r="V4" s="32">
        <f t="shared" si="5"/>
        <v>0</v>
      </c>
      <c r="W4" s="18">
        <f t="shared" si="6"/>
        <v>224.6</v>
      </c>
      <c r="X4" s="6">
        <f t="shared" si="7"/>
        <v>0</v>
      </c>
    </row>
    <row r="5" spans="1:24" x14ac:dyDescent="0.3">
      <c r="A5" s="7">
        <v>2001806458</v>
      </c>
      <c r="B5" s="7">
        <v>1091117223244</v>
      </c>
      <c r="C5" s="6">
        <f>VLOOKUP(A5,'Invoice_Courier Company'!B:E,4,FALSE)</f>
        <v>143001</v>
      </c>
      <c r="D5" s="6" t="str">
        <f>VLOOKUP(A5,'Invoice_Courier Company'!B:G,6,FALSE)</f>
        <v>Forward charges</v>
      </c>
      <c r="E5" s="6" t="str">
        <f t="shared" si="0"/>
        <v>Yes</v>
      </c>
      <c r="F5" s="6" t="str">
        <f t="shared" si="1"/>
        <v>No</v>
      </c>
      <c r="G5" s="18">
        <f>SUMIFS('Order Report_Company X'!E:E,'Order Report_Company X'!A:A,A5)/1000</f>
        <v>0.7</v>
      </c>
      <c r="H5" s="18">
        <f>SUMIFS('Order Report_Company X'!E:E,'Order Report_Company X'!A:A,'Order Level Calculation_Company'!A5)</f>
        <v>700</v>
      </c>
      <c r="I5" s="18" cm="1">
        <f t="array" ref="I5">_xlfn.IFS($G5&lt;=0.5,0.5,$G5&lt;=1,1,$G5&lt;=1.5,1.5,$G5&lt;=2,2,$G5&lt;=2.5,2.5,$G5&lt;=3,3,$G5&lt;=3.5,3.5,$G5&lt;=4,4)</f>
        <v>1</v>
      </c>
      <c r="J5" s="18" cm="1">
        <f t="array" ref="J5">_xlfn.IFS($H5&lt;=500,0.5,$H5&lt;=1000,1,$H5&lt;=1500,1.5,$H5&lt;=2000,2,$H5&lt;=2500,2.5,$H5&lt;=3000,3,$H5&lt;=3500,3.5,$H5&lt;=4000,4)*1000</f>
        <v>1000</v>
      </c>
      <c r="K5" s="6" t="str">
        <f>UPPER(VLOOKUP(C5,'Zones Pincode_Company X'!B:C,2,FALSE))</f>
        <v>B</v>
      </c>
      <c r="L5" s="18">
        <f>VLOOKUP(K5,'Rates_Courier Company'!$B$7:$C$12,2,0)</f>
        <v>33</v>
      </c>
      <c r="M5" s="18">
        <f>VLOOKUP(K5,'Rates_Courier Company'!$B$15:$C$20,2,FALSE)*(I5/0.5-1)</f>
        <v>28.3</v>
      </c>
      <c r="N5" s="6">
        <f>IF(F5="Yes",VLOOKUP(K5,'Rates_Courier Company'!$F$7:$G$12,2,0),0)</f>
        <v>0</v>
      </c>
      <c r="O5" s="6">
        <f>IF(F5="Yes",VLOOKUP(K5,'Rates_Courier Company'!$F$15:$G$20,2,0),0)*(I5/0.5 -1)</f>
        <v>0</v>
      </c>
      <c r="P5" s="18">
        <f t="shared" si="2"/>
        <v>61.3</v>
      </c>
      <c r="Q5" s="18">
        <f>VLOOKUP(A5,'Invoice_Courier Company'!B:C,2,0)</f>
        <v>1</v>
      </c>
      <c r="R5" s="18">
        <f t="shared" si="3"/>
        <v>1</v>
      </c>
      <c r="S5" s="6" t="str">
        <f>UPPER(VLOOKUP(A5,'Invoice_Courier Company'!B:G,5,FALSE))</f>
        <v>B</v>
      </c>
      <c r="T5" s="18">
        <f>VLOOKUP(A5,'Invoice_Courier Company'!B:H,7,0)</f>
        <v>61.3</v>
      </c>
      <c r="U5" s="18">
        <f t="shared" si="4"/>
        <v>0</v>
      </c>
      <c r="V5" s="32">
        <f t="shared" si="5"/>
        <v>0</v>
      </c>
      <c r="W5" s="18">
        <f t="shared" si="6"/>
        <v>61.3</v>
      </c>
      <c r="X5" s="6">
        <f t="shared" si="7"/>
        <v>0</v>
      </c>
    </row>
    <row r="6" spans="1:24" x14ac:dyDescent="0.3">
      <c r="A6" s="7">
        <v>2001807012</v>
      </c>
      <c r="B6" s="7">
        <v>1091117229345</v>
      </c>
      <c r="C6" s="6">
        <f>VLOOKUP(A6,'Invoice_Courier Company'!B:E,4,FALSE)</f>
        <v>515591</v>
      </c>
      <c r="D6" s="6" t="str">
        <f>VLOOKUP(A6,'Invoice_Courier Company'!B:G,6,FALSE)</f>
        <v>Forward charges</v>
      </c>
      <c r="E6" s="6" t="str">
        <f t="shared" si="0"/>
        <v>Yes</v>
      </c>
      <c r="F6" s="6" t="str">
        <f t="shared" si="1"/>
        <v>No</v>
      </c>
      <c r="G6" s="18">
        <f>SUMIFS('Order Report_Company X'!E:E,'Order Report_Company X'!A:A,A6)/1000</f>
        <v>0.24</v>
      </c>
      <c r="H6" s="18">
        <f>SUMIFS('Order Report_Company X'!E:E,'Order Report_Company X'!A:A,'Order Level Calculation_Company'!A6)</f>
        <v>240</v>
      </c>
      <c r="I6" s="18" cm="1">
        <f t="array" ref="I6">_xlfn.IFS($G6&lt;=0.5,0.5,$G6&lt;=1,1,$G6&lt;=1.5,1.5,$G6&lt;=2,2,$G6&lt;=2.5,2.5,$G6&lt;=3,3,$G6&lt;=3.5,3.5,$G6&lt;=4,4)</f>
        <v>0.5</v>
      </c>
      <c r="J6" s="18" cm="1">
        <f t="array" ref="J6">_xlfn.IFS($H6&lt;=500,0.5,$H6&lt;=1000,1,$H6&lt;=1500,1.5,$H6&lt;=2000,2,$H6&lt;=2500,2.5,$H6&lt;=3000,3,$H6&lt;=3500,3.5,$H6&lt;=4000,4)*1000</f>
        <v>500</v>
      </c>
      <c r="K6" s="6" t="str">
        <f>UPPER(VLOOKUP(C6,'Zones Pincode_Company X'!B:C,2,FALSE))</f>
        <v>D</v>
      </c>
      <c r="L6" s="18">
        <f>VLOOKUP(K6,'Rates_Courier Company'!$B$7:$C$12,2,0)</f>
        <v>45.4</v>
      </c>
      <c r="M6" s="18">
        <f>VLOOKUP(K6,'Rates_Courier Company'!$B$15:$C$20,2,FALSE)*(I6/0.5-1)</f>
        <v>0</v>
      </c>
      <c r="N6" s="6">
        <f>IF(F6="Yes",VLOOKUP(K6,'Rates_Courier Company'!$F$7:$G$12,2,0),0)</f>
        <v>0</v>
      </c>
      <c r="O6" s="6">
        <f>IF(F6="Yes",VLOOKUP(K6,'Rates_Courier Company'!$F$15:$G$20,2,0),0)*(I6/0.5 -1)</f>
        <v>0</v>
      </c>
      <c r="P6" s="18">
        <f t="shared" si="2"/>
        <v>45.4</v>
      </c>
      <c r="Q6" s="18">
        <f>VLOOKUP(A6,'Invoice_Courier Company'!B:C,2,0)</f>
        <v>0.15</v>
      </c>
      <c r="R6" s="18">
        <f t="shared" si="3"/>
        <v>0.5</v>
      </c>
      <c r="S6" s="6" t="str">
        <f>UPPER(VLOOKUP(A6,'Invoice_Courier Company'!B:G,5,FALSE))</f>
        <v>D</v>
      </c>
      <c r="T6" s="18">
        <f>VLOOKUP(A6,'Invoice_Courier Company'!B:H,7,0)</f>
        <v>45.4</v>
      </c>
      <c r="U6" s="18">
        <f t="shared" si="4"/>
        <v>0</v>
      </c>
      <c r="V6" s="32">
        <f t="shared" si="5"/>
        <v>0</v>
      </c>
      <c r="W6" s="18">
        <f t="shared" si="6"/>
        <v>45.4</v>
      </c>
      <c r="X6" s="6">
        <f t="shared" si="7"/>
        <v>0</v>
      </c>
    </row>
    <row r="7" spans="1:24" x14ac:dyDescent="0.3">
      <c r="A7" s="7">
        <v>2001806686</v>
      </c>
      <c r="B7" s="7">
        <v>1091117229555</v>
      </c>
      <c r="C7" s="6">
        <f>VLOOKUP(A7,'Invoice_Courier Company'!B:E,4,FALSE)</f>
        <v>326502</v>
      </c>
      <c r="D7" s="6" t="str">
        <f>VLOOKUP(A7,'Invoice_Courier Company'!B:G,6,FALSE)</f>
        <v>Forward charges</v>
      </c>
      <c r="E7" s="6" t="str">
        <f t="shared" si="0"/>
        <v>Yes</v>
      </c>
      <c r="F7" s="6" t="str">
        <f t="shared" si="1"/>
        <v>No</v>
      </c>
      <c r="G7" s="18">
        <f>SUMIFS('Order Report_Company X'!E:E,'Order Report_Company X'!A:A,A7)/1000</f>
        <v>0.24</v>
      </c>
      <c r="H7" s="18">
        <f>SUMIFS('Order Report_Company X'!E:E,'Order Report_Company X'!A:A,'Order Level Calculation_Company'!A7)</f>
        <v>240</v>
      </c>
      <c r="I7" s="18" cm="1">
        <f t="array" ref="I7">_xlfn.IFS($G7&lt;=0.5,0.5,$G7&lt;=1,1,$G7&lt;=1.5,1.5,$G7&lt;=2,2,$G7&lt;=2.5,2.5,$G7&lt;=3,3,$G7&lt;=3.5,3.5,$G7&lt;=4,4)</f>
        <v>0.5</v>
      </c>
      <c r="J7" s="18" cm="1">
        <f t="array" ref="J7">_xlfn.IFS($H7&lt;=500,0.5,$H7&lt;=1000,1,$H7&lt;=1500,1.5,$H7&lt;=2000,2,$H7&lt;=2500,2.5,$H7&lt;=3000,3,$H7&lt;=3500,3.5,$H7&lt;=4000,4)*1000</f>
        <v>500</v>
      </c>
      <c r="K7" s="6" t="str">
        <f>UPPER(VLOOKUP(C7,'Zones Pincode_Company X'!B:C,2,FALSE))</f>
        <v>D</v>
      </c>
      <c r="L7" s="18">
        <f>VLOOKUP(K7,'Rates_Courier Company'!$B$7:$C$12,2,0)</f>
        <v>45.4</v>
      </c>
      <c r="M7" s="18">
        <f>VLOOKUP(K7,'Rates_Courier Company'!$B$15:$C$20,2,FALSE)*(I7/0.5-1)</f>
        <v>0</v>
      </c>
      <c r="N7" s="6">
        <f>IF(F7="Yes",VLOOKUP(K7,'Rates_Courier Company'!$F$7:$G$12,2,0),0)</f>
        <v>0</v>
      </c>
      <c r="O7" s="6">
        <f>IF(F7="Yes",VLOOKUP(K7,'Rates_Courier Company'!$F$15:$G$20,2,0),0)*(I7/0.5 -1)</f>
        <v>0</v>
      </c>
      <c r="P7" s="18">
        <f t="shared" si="2"/>
        <v>45.4</v>
      </c>
      <c r="Q7" s="18">
        <f>VLOOKUP(A7,'Invoice_Courier Company'!B:C,2,0)</f>
        <v>0.15</v>
      </c>
      <c r="R7" s="18">
        <f t="shared" si="3"/>
        <v>0.5</v>
      </c>
      <c r="S7" s="6" t="str">
        <f>UPPER(VLOOKUP(A7,'Invoice_Courier Company'!B:G,5,FALSE))</f>
        <v>D</v>
      </c>
      <c r="T7" s="18">
        <f>VLOOKUP(A7,'Invoice_Courier Company'!B:H,7,0)</f>
        <v>45.4</v>
      </c>
      <c r="U7" s="18">
        <f t="shared" si="4"/>
        <v>0</v>
      </c>
      <c r="V7" s="32">
        <f t="shared" si="5"/>
        <v>0</v>
      </c>
      <c r="W7" s="18">
        <f t="shared" si="6"/>
        <v>45.4</v>
      </c>
      <c r="X7" s="6">
        <f t="shared" si="7"/>
        <v>0</v>
      </c>
    </row>
    <row r="8" spans="1:24" x14ac:dyDescent="0.3">
      <c r="A8" s="7">
        <v>2001806885</v>
      </c>
      <c r="B8" s="7">
        <v>1091117229776</v>
      </c>
      <c r="C8" s="6">
        <f>VLOOKUP(A8,'Invoice_Courier Company'!B:E,4,FALSE)</f>
        <v>208019</v>
      </c>
      <c r="D8" s="6" t="str">
        <f>VLOOKUP(A8,'Invoice_Courier Company'!B:G,6,FALSE)</f>
        <v>Forward charges</v>
      </c>
      <c r="E8" s="6" t="str">
        <f t="shared" si="0"/>
        <v>Yes</v>
      </c>
      <c r="F8" s="6" t="str">
        <f t="shared" si="1"/>
        <v>No</v>
      </c>
      <c r="G8" s="18">
        <f>SUMIFS('Order Report_Company X'!E:E,'Order Report_Company X'!A:A,A8)/1000</f>
        <v>0.84</v>
      </c>
      <c r="H8" s="18">
        <f>SUMIFS('Order Report_Company X'!E:E,'Order Report_Company X'!A:A,'Order Level Calculation_Company'!A8)</f>
        <v>840</v>
      </c>
      <c r="I8" s="18" cm="1">
        <f t="array" ref="I8">_xlfn.IFS($G8&lt;=0.5,0.5,$G8&lt;=1,1,$G8&lt;=1.5,1.5,$G8&lt;=2,2,$G8&lt;=2.5,2.5,$G8&lt;=3,3,$G8&lt;=3.5,3.5,$G8&lt;=4,4)</f>
        <v>1</v>
      </c>
      <c r="J8" s="18" cm="1">
        <f t="array" ref="J8">_xlfn.IFS($H8&lt;=500,0.5,$H8&lt;=1000,1,$H8&lt;=1500,1.5,$H8&lt;=2000,2,$H8&lt;=2500,2.5,$H8&lt;=3000,3,$H8&lt;=3500,3.5,$H8&lt;=4000,4)*1000</f>
        <v>1000</v>
      </c>
      <c r="K8" s="6" t="str">
        <f>UPPER(VLOOKUP(C8,'Zones Pincode_Company X'!B:C,2,FALSE))</f>
        <v>B</v>
      </c>
      <c r="L8" s="18">
        <f>VLOOKUP(K8,'Rates_Courier Company'!$B$7:$C$12,2,0)</f>
        <v>33</v>
      </c>
      <c r="M8" s="18">
        <f>VLOOKUP(K8,'Rates_Courier Company'!$B$15:$C$20,2,FALSE)*(I8/0.5-1)</f>
        <v>28.3</v>
      </c>
      <c r="N8" s="6">
        <f>IF(F8="Yes",VLOOKUP(K8,'Rates_Courier Company'!$F$7:$G$12,2,0),0)</f>
        <v>0</v>
      </c>
      <c r="O8" s="6">
        <f>IF(F8="Yes",VLOOKUP(K8,'Rates_Courier Company'!$F$15:$G$20,2,0),0)*(I8/0.5 -1)</f>
        <v>0</v>
      </c>
      <c r="P8" s="18">
        <f t="shared" si="2"/>
        <v>61.3</v>
      </c>
      <c r="Q8" s="18">
        <f>VLOOKUP(A8,'Invoice_Courier Company'!B:C,2,0)</f>
        <v>1</v>
      </c>
      <c r="R8" s="18">
        <f t="shared" si="3"/>
        <v>1</v>
      </c>
      <c r="S8" s="6" t="str">
        <f>UPPER(VLOOKUP(A8,'Invoice_Courier Company'!B:G,5,FALSE))</f>
        <v>B</v>
      </c>
      <c r="T8" s="18">
        <f>VLOOKUP(A8,'Invoice_Courier Company'!B:H,7,0)</f>
        <v>61.3</v>
      </c>
      <c r="U8" s="18">
        <f t="shared" si="4"/>
        <v>0</v>
      </c>
      <c r="V8" s="32">
        <f t="shared" si="5"/>
        <v>0</v>
      </c>
      <c r="W8" s="18">
        <f t="shared" si="6"/>
        <v>61.3</v>
      </c>
      <c r="X8" s="6">
        <f t="shared" si="7"/>
        <v>0</v>
      </c>
    </row>
    <row r="9" spans="1:24" x14ac:dyDescent="0.3">
      <c r="A9" s="7">
        <v>2001807058</v>
      </c>
      <c r="B9" s="7">
        <v>1091117323112</v>
      </c>
      <c r="C9" s="6">
        <f>VLOOKUP(A9,'Invoice_Courier Company'!B:E,4,FALSE)</f>
        <v>140301</v>
      </c>
      <c r="D9" s="6" t="str">
        <f>VLOOKUP(A9,'Invoice_Courier Company'!B:G,6,FALSE)</f>
        <v>Forward charges</v>
      </c>
      <c r="E9" s="6" t="str">
        <f t="shared" si="0"/>
        <v>Yes</v>
      </c>
      <c r="F9" s="6" t="str">
        <f t="shared" si="1"/>
        <v>No</v>
      </c>
      <c r="G9" s="18">
        <f>SUMIFS('Order Report_Company X'!E:E,'Order Report_Company X'!A:A,A9)/1000</f>
        <v>1.1679999999999999</v>
      </c>
      <c r="H9" s="18">
        <f>SUMIFS('Order Report_Company X'!E:E,'Order Report_Company X'!A:A,'Order Level Calculation_Company'!A9)</f>
        <v>1168</v>
      </c>
      <c r="I9" s="18" cm="1">
        <f t="array" ref="I9">_xlfn.IFS($G9&lt;=0.5,0.5,$G9&lt;=1,1,$G9&lt;=1.5,1.5,$G9&lt;=2,2,$G9&lt;=2.5,2.5,$G9&lt;=3,3,$G9&lt;=3.5,3.5,$G9&lt;=4,4)</f>
        <v>1.5</v>
      </c>
      <c r="J9" s="18" cm="1">
        <f t="array" ref="J9">_xlfn.IFS($H9&lt;=500,0.5,$H9&lt;=1000,1,$H9&lt;=1500,1.5,$H9&lt;=2000,2,$H9&lt;=2500,2.5,$H9&lt;=3000,3,$H9&lt;=3500,3.5,$H9&lt;=4000,4)*1000</f>
        <v>1500</v>
      </c>
      <c r="K9" s="6" t="str">
        <f>UPPER(VLOOKUP(C9,'Zones Pincode_Company X'!B:C,2,FALSE))</f>
        <v>B</v>
      </c>
      <c r="L9" s="18">
        <f>VLOOKUP(K9,'Rates_Courier Company'!$B$7:$C$12,2,0)</f>
        <v>33</v>
      </c>
      <c r="M9" s="18">
        <f>VLOOKUP(K9,'Rates_Courier Company'!$B$15:$C$20,2,FALSE)*(I9/0.5-1)</f>
        <v>56.6</v>
      </c>
      <c r="N9" s="6">
        <f>IF(F9="Yes",VLOOKUP(K9,'Rates_Courier Company'!$F$7:$G$12,2,0),0)</f>
        <v>0</v>
      </c>
      <c r="O9" s="6">
        <f>IF(F9="Yes",VLOOKUP(K9,'Rates_Courier Company'!$F$15:$G$20,2,0),0)*(I9/0.5 -1)</f>
        <v>0</v>
      </c>
      <c r="P9" s="18">
        <f t="shared" si="2"/>
        <v>89.6</v>
      </c>
      <c r="Q9" s="18">
        <f>VLOOKUP(A9,'Invoice_Courier Company'!B:C,2,0)</f>
        <v>1.1499999999999999</v>
      </c>
      <c r="R9" s="18">
        <f t="shared" si="3"/>
        <v>1.5</v>
      </c>
      <c r="S9" s="6" t="str">
        <f>UPPER(VLOOKUP(A9,'Invoice_Courier Company'!B:G,5,FALSE))</f>
        <v>B</v>
      </c>
      <c r="T9" s="18">
        <f>VLOOKUP(A9,'Invoice_Courier Company'!B:H,7,0)</f>
        <v>89.6</v>
      </c>
      <c r="U9" s="18">
        <f t="shared" si="4"/>
        <v>0</v>
      </c>
      <c r="V9" s="32">
        <f t="shared" si="5"/>
        <v>0</v>
      </c>
      <c r="W9" s="18">
        <f t="shared" si="6"/>
        <v>89.6</v>
      </c>
      <c r="X9" s="6">
        <f t="shared" si="7"/>
        <v>0</v>
      </c>
    </row>
    <row r="10" spans="1:24" x14ac:dyDescent="0.3">
      <c r="A10" s="7">
        <v>2001807186</v>
      </c>
      <c r="B10" s="7">
        <v>1091117323812</v>
      </c>
      <c r="C10" s="6">
        <f>VLOOKUP(A10,'Invoice_Courier Company'!B:E,4,FALSE)</f>
        <v>396001</v>
      </c>
      <c r="D10" s="6" t="str">
        <f>VLOOKUP(A10,'Invoice_Courier Company'!B:G,6,FALSE)</f>
        <v>Forward charges</v>
      </c>
      <c r="E10" s="6" t="str">
        <f t="shared" si="0"/>
        <v>Yes</v>
      </c>
      <c r="F10" s="6" t="str">
        <f t="shared" si="1"/>
        <v>No</v>
      </c>
      <c r="G10" s="18">
        <f>SUMIFS('Order Report_Company X'!E:E,'Order Report_Company X'!A:A,A10)/1000</f>
        <v>0.5</v>
      </c>
      <c r="H10" s="18">
        <f>SUMIFS('Order Report_Company X'!E:E,'Order Report_Company X'!A:A,'Order Level Calculation_Company'!A10)</f>
        <v>500</v>
      </c>
      <c r="I10" s="18" cm="1">
        <f t="array" ref="I10">_xlfn.IFS($G10&lt;=0.5,0.5,$G10&lt;=1,1,$G10&lt;=1.5,1.5,$G10&lt;=2,2,$G10&lt;=2.5,2.5,$G10&lt;=3,3,$G10&lt;=3.5,3.5,$G10&lt;=4,4)</f>
        <v>0.5</v>
      </c>
      <c r="J10" s="18" cm="1">
        <f t="array" ref="J10">_xlfn.IFS($H10&lt;=500,0.5,$H10&lt;=1000,1,$H10&lt;=1500,1.5,$H10&lt;=2000,2,$H10&lt;=2500,2.5,$H10&lt;=3000,3,$H10&lt;=3500,3.5,$H10&lt;=4000,4)*1000</f>
        <v>500</v>
      </c>
      <c r="K10" s="6" t="str">
        <f>UPPER(VLOOKUP(C10,'Zones Pincode_Company X'!B:C,2,FALSE))</f>
        <v>D</v>
      </c>
      <c r="L10" s="18">
        <f>VLOOKUP(K10,'Rates_Courier Company'!$B$7:$C$12,2,0)</f>
        <v>45.4</v>
      </c>
      <c r="M10" s="18">
        <f>VLOOKUP(K10,'Rates_Courier Company'!$B$15:$C$20,2,FALSE)*(I10/0.5-1)</f>
        <v>0</v>
      </c>
      <c r="N10" s="6">
        <f>IF(F10="Yes",VLOOKUP(K10,'Rates_Courier Company'!$F$7:$G$12,2,0),0)</f>
        <v>0</v>
      </c>
      <c r="O10" s="6">
        <f>IF(F10="Yes",VLOOKUP(K10,'Rates_Courier Company'!$F$15:$G$20,2,0),0)*(I10/0.5 -1)</f>
        <v>0</v>
      </c>
      <c r="P10" s="18">
        <f t="shared" si="2"/>
        <v>45.4</v>
      </c>
      <c r="Q10" s="18">
        <f>VLOOKUP(A10,'Invoice_Courier Company'!B:C,2,0)</f>
        <v>0.5</v>
      </c>
      <c r="R10" s="18">
        <f t="shared" si="3"/>
        <v>0.5</v>
      </c>
      <c r="S10" s="6" t="str">
        <f>UPPER(VLOOKUP(A10,'Invoice_Courier Company'!B:G,5,FALSE))</f>
        <v>D</v>
      </c>
      <c r="T10" s="18">
        <f>VLOOKUP(A10,'Invoice_Courier Company'!B:H,7,0)</f>
        <v>45.4</v>
      </c>
      <c r="U10" s="18">
        <f t="shared" si="4"/>
        <v>0</v>
      </c>
      <c r="V10" s="32">
        <f t="shared" si="5"/>
        <v>0</v>
      </c>
      <c r="W10" s="18">
        <f t="shared" si="6"/>
        <v>45.4</v>
      </c>
      <c r="X10" s="6">
        <f t="shared" si="7"/>
        <v>0</v>
      </c>
    </row>
    <row r="11" spans="1:24" x14ac:dyDescent="0.3">
      <c r="A11" s="7">
        <v>2001807290</v>
      </c>
      <c r="B11" s="7">
        <v>1091117324206</v>
      </c>
      <c r="C11" s="6">
        <f>VLOOKUP(A11,'Invoice_Courier Company'!B:E,4,FALSE)</f>
        <v>711106</v>
      </c>
      <c r="D11" s="6" t="str">
        <f>VLOOKUP(A11,'Invoice_Courier Company'!B:G,6,FALSE)</f>
        <v>Forward charges</v>
      </c>
      <c r="E11" s="6" t="str">
        <f t="shared" si="0"/>
        <v>Yes</v>
      </c>
      <c r="F11" s="6" t="str">
        <f t="shared" si="1"/>
        <v>No</v>
      </c>
      <c r="G11" s="18">
        <f>SUMIFS('Order Report_Company X'!E:E,'Order Report_Company X'!A:A,A11)/1000</f>
        <v>0.5</v>
      </c>
      <c r="H11" s="18">
        <f>SUMIFS('Order Report_Company X'!E:E,'Order Report_Company X'!A:A,'Order Level Calculation_Company'!A11)</f>
        <v>500</v>
      </c>
      <c r="I11" s="18" cm="1">
        <f t="array" ref="I11">_xlfn.IFS($G11&lt;=0.5,0.5,$G11&lt;=1,1,$G11&lt;=1.5,1.5,$G11&lt;=2,2,$G11&lt;=2.5,2.5,$G11&lt;=3,3,$G11&lt;=3.5,3.5,$G11&lt;=4,4)</f>
        <v>0.5</v>
      </c>
      <c r="J11" s="18" cm="1">
        <f t="array" ref="J11">_xlfn.IFS($H11&lt;=500,0.5,$H11&lt;=1000,1,$H11&lt;=1500,1.5,$H11&lt;=2000,2,$H11&lt;=2500,2.5,$H11&lt;=3000,3,$H11&lt;=3500,3.5,$H11&lt;=4000,4)*1000</f>
        <v>500</v>
      </c>
      <c r="K11" s="6" t="str">
        <f>UPPER(VLOOKUP(C11,'Zones Pincode_Company X'!B:C,2,FALSE))</f>
        <v>D</v>
      </c>
      <c r="L11" s="18">
        <f>VLOOKUP(K11,'Rates_Courier Company'!$B$7:$C$12,2,0)</f>
        <v>45.4</v>
      </c>
      <c r="M11" s="18">
        <f>VLOOKUP(K11,'Rates_Courier Company'!$B$15:$C$20,2,FALSE)*(I11/0.5-1)</f>
        <v>0</v>
      </c>
      <c r="N11" s="6">
        <f>IF(F11="Yes",VLOOKUP(K11,'Rates_Courier Company'!$F$7:$G$12,2,0),0)</f>
        <v>0</v>
      </c>
      <c r="O11" s="6">
        <f>IF(F11="Yes",VLOOKUP(K11,'Rates_Courier Company'!$F$15:$G$20,2,0),0)*(I11/0.5 -1)</f>
        <v>0</v>
      </c>
      <c r="P11" s="18">
        <f t="shared" si="2"/>
        <v>45.4</v>
      </c>
      <c r="Q11" s="18">
        <f>VLOOKUP(A11,'Invoice_Courier Company'!B:C,2,0)</f>
        <v>0.5</v>
      </c>
      <c r="R11" s="18">
        <f t="shared" si="3"/>
        <v>0.5</v>
      </c>
      <c r="S11" s="6" t="str">
        <f>UPPER(VLOOKUP(A11,'Invoice_Courier Company'!B:G,5,FALSE))</f>
        <v>D</v>
      </c>
      <c r="T11" s="18">
        <f>VLOOKUP(A11,'Invoice_Courier Company'!B:H,7,0)</f>
        <v>45.4</v>
      </c>
      <c r="U11" s="18">
        <f t="shared" si="4"/>
        <v>0</v>
      </c>
      <c r="V11" s="32">
        <f t="shared" si="5"/>
        <v>0</v>
      </c>
      <c r="W11" s="18">
        <f t="shared" si="6"/>
        <v>45.4</v>
      </c>
      <c r="X11" s="6">
        <f t="shared" si="7"/>
        <v>0</v>
      </c>
    </row>
    <row r="12" spans="1:24" x14ac:dyDescent="0.3">
      <c r="A12" s="7">
        <v>2001807814</v>
      </c>
      <c r="B12" s="7">
        <v>1091117326612</v>
      </c>
      <c r="C12" s="6">
        <f>VLOOKUP(A12,'Invoice_Courier Company'!B:E,4,FALSE)</f>
        <v>284001</v>
      </c>
      <c r="D12" s="6" t="str">
        <f>VLOOKUP(A12,'Invoice_Courier Company'!B:G,6,FALSE)</f>
        <v>Forward charges</v>
      </c>
      <c r="E12" s="6" t="str">
        <f t="shared" si="0"/>
        <v>Yes</v>
      </c>
      <c r="F12" s="6" t="str">
        <f t="shared" si="1"/>
        <v>No</v>
      </c>
      <c r="G12" s="18">
        <f>SUMIFS('Order Report_Company X'!E:E,'Order Report_Company X'!A:A,A12)/1000</f>
        <v>0.60699999999999998</v>
      </c>
      <c r="H12" s="18">
        <f>SUMIFS('Order Report_Company X'!E:E,'Order Report_Company X'!A:A,'Order Level Calculation_Company'!A12)</f>
        <v>607</v>
      </c>
      <c r="I12" s="18" cm="1">
        <f t="array" ref="I12">_xlfn.IFS($G12&lt;=0.5,0.5,$G12&lt;=1,1,$G12&lt;=1.5,1.5,$G12&lt;=2,2,$G12&lt;=2.5,2.5,$G12&lt;=3,3,$G12&lt;=3.5,3.5,$G12&lt;=4,4)</f>
        <v>1</v>
      </c>
      <c r="J12" s="18" cm="1">
        <f t="array" ref="J12">_xlfn.IFS($H12&lt;=500,0.5,$H12&lt;=1000,1,$H12&lt;=1500,1.5,$H12&lt;=2000,2,$H12&lt;=2500,2.5,$H12&lt;=3000,3,$H12&lt;=3500,3.5,$H12&lt;=4000,4)*1000</f>
        <v>1000</v>
      </c>
      <c r="K12" s="6" t="str">
        <f>UPPER(VLOOKUP(C12,'Zones Pincode_Company X'!B:C,2,FALSE))</f>
        <v>B</v>
      </c>
      <c r="L12" s="18">
        <f>VLOOKUP(K12,'Rates_Courier Company'!$B$7:$C$12,2,0)</f>
        <v>33</v>
      </c>
      <c r="M12" s="18">
        <f>VLOOKUP(K12,'Rates_Courier Company'!$B$15:$C$20,2,FALSE)*(I12/0.5-1)</f>
        <v>28.3</v>
      </c>
      <c r="N12" s="6">
        <f>IF(F12="Yes",VLOOKUP(K12,'Rates_Courier Company'!$F$7:$G$12,2,0),0)</f>
        <v>0</v>
      </c>
      <c r="O12" s="6">
        <f>IF(F12="Yes",VLOOKUP(K12,'Rates_Courier Company'!$F$15:$G$20,2,0),0)*(I12/0.5 -1)</f>
        <v>0</v>
      </c>
      <c r="P12" s="18">
        <f t="shared" si="2"/>
        <v>61.3</v>
      </c>
      <c r="Q12" s="18">
        <f>VLOOKUP(A12,'Invoice_Courier Company'!B:C,2,0)</f>
        <v>0.79</v>
      </c>
      <c r="R12" s="18">
        <f t="shared" si="3"/>
        <v>1</v>
      </c>
      <c r="S12" s="6" t="str">
        <f>UPPER(VLOOKUP(A12,'Invoice_Courier Company'!B:G,5,FALSE))</f>
        <v>B</v>
      </c>
      <c r="T12" s="18">
        <f>VLOOKUP(A12,'Invoice_Courier Company'!B:H,7,0)</f>
        <v>61.3</v>
      </c>
      <c r="U12" s="18">
        <f t="shared" si="4"/>
        <v>0</v>
      </c>
      <c r="V12" s="32">
        <f t="shared" si="5"/>
        <v>0</v>
      </c>
      <c r="W12" s="18">
        <f t="shared" si="6"/>
        <v>61.3</v>
      </c>
      <c r="X12" s="6">
        <f t="shared" si="7"/>
        <v>0</v>
      </c>
    </row>
    <row r="13" spans="1:24" x14ac:dyDescent="0.3">
      <c r="A13" s="7">
        <v>2001807931</v>
      </c>
      <c r="B13" s="7">
        <v>1091117327172</v>
      </c>
      <c r="C13" s="6">
        <f>VLOOKUP(A13,'Invoice_Courier Company'!B:E,4,FALSE)</f>
        <v>441601</v>
      </c>
      <c r="D13" s="6" t="str">
        <f>VLOOKUP(A13,'Invoice_Courier Company'!B:G,6,FALSE)</f>
        <v>Forward charges</v>
      </c>
      <c r="E13" s="6" t="str">
        <f t="shared" si="0"/>
        <v>Yes</v>
      </c>
      <c r="F13" s="6" t="str">
        <f t="shared" si="1"/>
        <v>No</v>
      </c>
      <c r="G13" s="18">
        <f>SUMIFS('Order Report_Company X'!E:E,'Order Report_Company X'!A:A,A13)/1000</f>
        <v>0.60699999999999998</v>
      </c>
      <c r="H13" s="18">
        <f>SUMIFS('Order Report_Company X'!E:E,'Order Report_Company X'!A:A,'Order Level Calculation_Company'!A13)</f>
        <v>607</v>
      </c>
      <c r="I13" s="18" cm="1">
        <f t="array" ref="I13">_xlfn.IFS($G13&lt;=0.5,0.5,$G13&lt;=1,1,$G13&lt;=1.5,1.5,$G13&lt;=2,2,$G13&lt;=2.5,2.5,$G13&lt;=3,3,$G13&lt;=3.5,3.5,$G13&lt;=4,4)</f>
        <v>1</v>
      </c>
      <c r="J13" s="18" cm="1">
        <f t="array" ref="J13">_xlfn.IFS($H13&lt;=500,0.5,$H13&lt;=1000,1,$H13&lt;=1500,1.5,$H13&lt;=2000,2,$H13&lt;=2500,2.5,$H13&lt;=3000,3,$H13&lt;=3500,3.5,$H13&lt;=4000,4)*1000</f>
        <v>1000</v>
      </c>
      <c r="K13" s="6" t="str">
        <f>UPPER(VLOOKUP(C13,'Zones Pincode_Company X'!B:C,2,FALSE))</f>
        <v>D</v>
      </c>
      <c r="L13" s="18">
        <f>VLOOKUP(K13,'Rates_Courier Company'!$B$7:$C$12,2,0)</f>
        <v>45.4</v>
      </c>
      <c r="M13" s="18">
        <f>VLOOKUP(K13,'Rates_Courier Company'!$B$15:$C$20,2,FALSE)*(I13/0.5-1)</f>
        <v>44.8</v>
      </c>
      <c r="N13" s="6">
        <f>IF(F13="Yes",VLOOKUP(K13,'Rates_Courier Company'!$F$7:$G$12,2,0),0)</f>
        <v>0</v>
      </c>
      <c r="O13" s="6">
        <f>IF(F13="Yes",VLOOKUP(K13,'Rates_Courier Company'!$F$15:$G$20,2,0),0)*(I13/0.5 -1)</f>
        <v>0</v>
      </c>
      <c r="P13" s="18">
        <f t="shared" si="2"/>
        <v>90.199999999999989</v>
      </c>
      <c r="Q13" s="18">
        <f>VLOOKUP(A13,'Invoice_Courier Company'!B:C,2,0)</f>
        <v>0.72</v>
      </c>
      <c r="R13" s="18">
        <f t="shared" si="3"/>
        <v>1</v>
      </c>
      <c r="S13" s="6" t="str">
        <f>UPPER(VLOOKUP(A13,'Invoice_Courier Company'!B:G,5,FALSE))</f>
        <v>D</v>
      </c>
      <c r="T13" s="18">
        <f>VLOOKUP(A13,'Invoice_Courier Company'!B:H,7,0)</f>
        <v>90.2</v>
      </c>
      <c r="U13" s="18">
        <f t="shared" si="4"/>
        <v>0</v>
      </c>
      <c r="V13" s="32">
        <f t="shared" si="5"/>
        <v>0</v>
      </c>
      <c r="W13" s="18">
        <f t="shared" si="6"/>
        <v>90.199999999999989</v>
      </c>
      <c r="X13" s="6">
        <f t="shared" si="7"/>
        <v>0</v>
      </c>
    </row>
    <row r="14" spans="1:24" x14ac:dyDescent="0.3">
      <c r="A14" s="7">
        <v>2001807956</v>
      </c>
      <c r="B14" s="7">
        <v>1091117327275</v>
      </c>
      <c r="C14" s="6">
        <f>VLOOKUP(A14,'Invoice_Courier Company'!B:E,4,FALSE)</f>
        <v>248006</v>
      </c>
      <c r="D14" s="6" t="str">
        <f>VLOOKUP(A14,'Invoice_Courier Company'!B:G,6,FALSE)</f>
        <v>Forward charges</v>
      </c>
      <c r="E14" s="6" t="str">
        <f t="shared" si="0"/>
        <v>Yes</v>
      </c>
      <c r="F14" s="6" t="str">
        <f t="shared" si="1"/>
        <v>No</v>
      </c>
      <c r="G14" s="18">
        <f>SUMIFS('Order Report_Company X'!E:E,'Order Report_Company X'!A:A,A14)/1000</f>
        <v>1.08</v>
      </c>
      <c r="H14" s="18">
        <f>SUMIFS('Order Report_Company X'!E:E,'Order Report_Company X'!A:A,'Order Level Calculation_Company'!A14)</f>
        <v>1080</v>
      </c>
      <c r="I14" s="18" cm="1">
        <f t="array" ref="I14">_xlfn.IFS($G14&lt;=0.5,0.5,$G14&lt;=1,1,$G14&lt;=1.5,1.5,$G14&lt;=2,2,$G14&lt;=2.5,2.5,$G14&lt;=3,3,$G14&lt;=3.5,3.5,$G14&lt;=4,4)</f>
        <v>1.5</v>
      </c>
      <c r="J14" s="18" cm="1">
        <f t="array" ref="J14">_xlfn.IFS($H14&lt;=500,0.5,$H14&lt;=1000,1,$H14&lt;=1500,1.5,$H14&lt;=2000,2,$H14&lt;=2500,2.5,$H14&lt;=3000,3,$H14&lt;=3500,3.5,$H14&lt;=4000,4)*1000</f>
        <v>1500</v>
      </c>
      <c r="K14" s="6" t="str">
        <f>UPPER(VLOOKUP(C14,'Zones Pincode_Company X'!B:C,2,FALSE))</f>
        <v>B</v>
      </c>
      <c r="L14" s="18">
        <f>VLOOKUP(K14,'Rates_Courier Company'!$B$7:$C$12,2,0)</f>
        <v>33</v>
      </c>
      <c r="M14" s="18">
        <f>VLOOKUP(K14,'Rates_Courier Company'!$B$15:$C$20,2,FALSE)*(I14/0.5-1)</f>
        <v>56.6</v>
      </c>
      <c r="N14" s="6">
        <f>IF(F14="Yes",VLOOKUP(K14,'Rates_Courier Company'!$F$7:$G$12,2,0),0)</f>
        <v>0</v>
      </c>
      <c r="O14" s="6">
        <f>IF(F14="Yes",VLOOKUP(K14,'Rates_Courier Company'!$F$15:$G$20,2,0),0)*(I14/0.5 -1)</f>
        <v>0</v>
      </c>
      <c r="P14" s="18">
        <f t="shared" si="2"/>
        <v>89.6</v>
      </c>
      <c r="Q14" s="18">
        <f>VLOOKUP(A14,'Invoice_Courier Company'!B:C,2,0)</f>
        <v>1.08</v>
      </c>
      <c r="R14" s="18">
        <f t="shared" si="3"/>
        <v>1.5</v>
      </c>
      <c r="S14" s="6" t="str">
        <f>UPPER(VLOOKUP(A14,'Invoice_Courier Company'!B:G,5,FALSE))</f>
        <v>B</v>
      </c>
      <c r="T14" s="18">
        <f>VLOOKUP(A14,'Invoice_Courier Company'!B:H,7,0)</f>
        <v>89.6</v>
      </c>
      <c r="U14" s="18">
        <f t="shared" si="4"/>
        <v>0</v>
      </c>
      <c r="V14" s="32">
        <f t="shared" si="5"/>
        <v>0</v>
      </c>
      <c r="W14" s="18">
        <f t="shared" si="6"/>
        <v>89.6</v>
      </c>
      <c r="X14" s="6">
        <f t="shared" si="7"/>
        <v>0</v>
      </c>
    </row>
    <row r="15" spans="1:24" x14ac:dyDescent="0.3">
      <c r="A15" s="7">
        <v>2001807960</v>
      </c>
      <c r="B15" s="7">
        <v>1091117327312</v>
      </c>
      <c r="C15" s="6">
        <f>VLOOKUP(A15,'Invoice_Courier Company'!B:E,4,FALSE)</f>
        <v>485001</v>
      </c>
      <c r="D15" s="6" t="str">
        <f>VLOOKUP(A15,'Invoice_Courier Company'!B:G,6,FALSE)</f>
        <v>Forward charges</v>
      </c>
      <c r="E15" s="6" t="str">
        <f t="shared" si="0"/>
        <v>Yes</v>
      </c>
      <c r="F15" s="6" t="str">
        <f t="shared" si="1"/>
        <v>No</v>
      </c>
      <c r="G15" s="18">
        <f>SUMIFS('Order Report_Company X'!E:E,'Order Report_Company X'!A:A,A15)/1000</f>
        <v>0.93</v>
      </c>
      <c r="H15" s="18">
        <f>SUMIFS('Order Report_Company X'!E:E,'Order Report_Company X'!A:A,'Order Level Calculation_Company'!A15)</f>
        <v>930</v>
      </c>
      <c r="I15" s="18" cm="1">
        <f t="array" ref="I15">_xlfn.IFS($G15&lt;=0.5,0.5,$G15&lt;=1,1,$G15&lt;=1.5,1.5,$G15&lt;=2,2,$G15&lt;=2.5,2.5,$G15&lt;=3,3,$G15&lt;=3.5,3.5,$G15&lt;=4,4)</f>
        <v>1</v>
      </c>
      <c r="J15" s="18" cm="1">
        <f t="array" ref="J15">_xlfn.IFS($H15&lt;=500,0.5,$H15&lt;=1000,1,$H15&lt;=1500,1.5,$H15&lt;=2000,2,$H15&lt;=2500,2.5,$H15&lt;=3000,3,$H15&lt;=3500,3.5,$H15&lt;=4000,4)*1000</f>
        <v>1000</v>
      </c>
      <c r="K15" s="6" t="str">
        <f>UPPER(VLOOKUP(C15,'Zones Pincode_Company X'!B:C,2,FALSE))</f>
        <v>D</v>
      </c>
      <c r="L15" s="18">
        <f>VLOOKUP(K15,'Rates_Courier Company'!$B$7:$C$12,2,0)</f>
        <v>45.4</v>
      </c>
      <c r="M15" s="18">
        <f>VLOOKUP(K15,'Rates_Courier Company'!$B$15:$C$20,2,FALSE)*(I15/0.5-1)</f>
        <v>44.8</v>
      </c>
      <c r="N15" s="6">
        <f>IF(F15="Yes",VLOOKUP(K15,'Rates_Courier Company'!$F$7:$G$12,2,0),0)</f>
        <v>0</v>
      </c>
      <c r="O15" s="6">
        <f>IF(F15="Yes",VLOOKUP(K15,'Rates_Courier Company'!$F$15:$G$20,2,0),0)*(I15/0.5 -1)</f>
        <v>0</v>
      </c>
      <c r="P15" s="18">
        <f t="shared" si="2"/>
        <v>90.199999999999989</v>
      </c>
      <c r="Q15" s="18">
        <f>VLOOKUP(A15,'Invoice_Courier Company'!B:C,2,0)</f>
        <v>1</v>
      </c>
      <c r="R15" s="18">
        <f t="shared" si="3"/>
        <v>1</v>
      </c>
      <c r="S15" s="6" t="str">
        <f>UPPER(VLOOKUP(A15,'Invoice_Courier Company'!B:G,5,FALSE))</f>
        <v>D</v>
      </c>
      <c r="T15" s="18">
        <f>VLOOKUP(A15,'Invoice_Courier Company'!B:H,7,0)</f>
        <v>90.2</v>
      </c>
      <c r="U15" s="18">
        <f t="shared" si="4"/>
        <v>0</v>
      </c>
      <c r="V15" s="32">
        <f t="shared" si="5"/>
        <v>0</v>
      </c>
      <c r="W15" s="18">
        <f t="shared" si="6"/>
        <v>90.199999999999989</v>
      </c>
      <c r="X15" s="6">
        <f t="shared" si="7"/>
        <v>0</v>
      </c>
    </row>
    <row r="16" spans="1:24" x14ac:dyDescent="0.3">
      <c r="A16" s="7">
        <v>2001807930</v>
      </c>
      <c r="B16" s="7">
        <v>1091117327695</v>
      </c>
      <c r="C16" s="6">
        <f>VLOOKUP(A16,'Invoice_Courier Company'!B:E,4,FALSE)</f>
        <v>845438</v>
      </c>
      <c r="D16" s="6" t="str">
        <f>VLOOKUP(A16,'Invoice_Courier Company'!B:G,6,FALSE)</f>
        <v>Forward charges</v>
      </c>
      <c r="E16" s="6" t="str">
        <f t="shared" si="0"/>
        <v>Yes</v>
      </c>
      <c r="F16" s="6" t="str">
        <f t="shared" si="1"/>
        <v>No</v>
      </c>
      <c r="G16" s="18">
        <f>SUMIFS('Order Report_Company X'!E:E,'Order Report_Company X'!A:A,A16)/1000</f>
        <v>0.24</v>
      </c>
      <c r="H16" s="18">
        <f>SUMIFS('Order Report_Company X'!E:E,'Order Report_Company X'!A:A,'Order Level Calculation_Company'!A16)</f>
        <v>240</v>
      </c>
      <c r="I16" s="18" cm="1">
        <f t="array" ref="I16">_xlfn.IFS($G16&lt;=0.5,0.5,$G16&lt;=1,1,$G16&lt;=1.5,1.5,$G16&lt;=2,2,$G16&lt;=2.5,2.5,$G16&lt;=3,3,$G16&lt;=3.5,3.5,$G16&lt;=4,4)</f>
        <v>0.5</v>
      </c>
      <c r="J16" s="18" cm="1">
        <f t="array" ref="J16">_xlfn.IFS($H16&lt;=500,0.5,$H16&lt;=1000,1,$H16&lt;=1500,1.5,$H16&lt;=2000,2,$H16&lt;=2500,2.5,$H16&lt;=3000,3,$H16&lt;=3500,3.5,$H16&lt;=4000,4)*1000</f>
        <v>500</v>
      </c>
      <c r="K16" s="6" t="str">
        <f>UPPER(VLOOKUP(C16,'Zones Pincode_Company X'!B:C,2,FALSE))</f>
        <v>D</v>
      </c>
      <c r="L16" s="18">
        <f>VLOOKUP(K16,'Rates_Courier Company'!$B$7:$C$12,2,0)</f>
        <v>45.4</v>
      </c>
      <c r="M16" s="18">
        <f>VLOOKUP(K16,'Rates_Courier Company'!$B$15:$C$20,2,FALSE)*(I16/0.5-1)</f>
        <v>0</v>
      </c>
      <c r="N16" s="6">
        <f>IF(F16="Yes",VLOOKUP(K16,'Rates_Courier Company'!$F$7:$G$12,2,0),0)</f>
        <v>0</v>
      </c>
      <c r="O16" s="6">
        <f>IF(F16="Yes",VLOOKUP(K16,'Rates_Courier Company'!$F$15:$G$20,2,0),0)*(I16/0.5 -1)</f>
        <v>0</v>
      </c>
      <c r="P16" s="18">
        <f t="shared" si="2"/>
        <v>45.4</v>
      </c>
      <c r="Q16" s="18">
        <f>VLOOKUP(A16,'Invoice_Courier Company'!B:C,2,0)</f>
        <v>0.15</v>
      </c>
      <c r="R16" s="18">
        <f t="shared" si="3"/>
        <v>0.5</v>
      </c>
      <c r="S16" s="6" t="str">
        <f>UPPER(VLOOKUP(A16,'Invoice_Courier Company'!B:G,5,FALSE))</f>
        <v>D</v>
      </c>
      <c r="T16" s="18">
        <f>VLOOKUP(A16,'Invoice_Courier Company'!B:H,7,0)</f>
        <v>45.4</v>
      </c>
      <c r="U16" s="18">
        <f t="shared" si="4"/>
        <v>0</v>
      </c>
      <c r="V16" s="32">
        <f t="shared" si="5"/>
        <v>0</v>
      </c>
      <c r="W16" s="18">
        <f t="shared" si="6"/>
        <v>45.4</v>
      </c>
      <c r="X16" s="6">
        <f t="shared" si="7"/>
        <v>0</v>
      </c>
    </row>
    <row r="17" spans="1:24" x14ac:dyDescent="0.3">
      <c r="A17" s="7">
        <v>2001808102</v>
      </c>
      <c r="B17" s="7">
        <v>1091117435005</v>
      </c>
      <c r="C17" s="6">
        <f>VLOOKUP(A17,'Invoice_Courier Company'!B:E,4,FALSE)</f>
        <v>463106</v>
      </c>
      <c r="D17" s="6" t="str">
        <f>VLOOKUP(A17,'Invoice_Courier Company'!B:G,6,FALSE)</f>
        <v>Forward charges</v>
      </c>
      <c r="E17" s="6" t="str">
        <f t="shared" si="0"/>
        <v>Yes</v>
      </c>
      <c r="F17" s="6" t="str">
        <f t="shared" si="1"/>
        <v>No</v>
      </c>
      <c r="G17" s="18">
        <f>SUMIFS('Order Report_Company X'!E:E,'Order Report_Company X'!A:A,A17)/1000</f>
        <v>1.157</v>
      </c>
      <c r="H17" s="18">
        <f>SUMIFS('Order Report_Company X'!E:E,'Order Report_Company X'!A:A,'Order Level Calculation_Company'!A17)</f>
        <v>1157</v>
      </c>
      <c r="I17" s="18" cm="1">
        <f t="array" ref="I17">_xlfn.IFS($G17&lt;=0.5,0.5,$G17&lt;=1,1,$G17&lt;=1.5,1.5,$G17&lt;=2,2,$G17&lt;=2.5,2.5,$G17&lt;=3,3,$G17&lt;=3.5,3.5,$G17&lt;=4,4)</f>
        <v>1.5</v>
      </c>
      <c r="J17" s="18" cm="1">
        <f t="array" ref="J17">_xlfn.IFS($H17&lt;=500,0.5,$H17&lt;=1000,1,$H17&lt;=1500,1.5,$H17&lt;=2000,2,$H17&lt;=2500,2.5,$H17&lt;=3000,3,$H17&lt;=3500,3.5,$H17&lt;=4000,4)*1000</f>
        <v>1500</v>
      </c>
      <c r="K17" s="6" t="str">
        <f>UPPER(VLOOKUP(C17,'Zones Pincode_Company X'!B:C,2,FALSE))</f>
        <v>D</v>
      </c>
      <c r="L17" s="18">
        <f>VLOOKUP(K17,'Rates_Courier Company'!$B$7:$C$12,2,0)</f>
        <v>45.4</v>
      </c>
      <c r="M17" s="18">
        <f>VLOOKUP(K17,'Rates_Courier Company'!$B$15:$C$20,2,FALSE)*(I17/0.5-1)</f>
        <v>89.6</v>
      </c>
      <c r="N17" s="6">
        <f>IF(F17="Yes",VLOOKUP(K17,'Rates_Courier Company'!$F$7:$G$12,2,0),0)</f>
        <v>0</v>
      </c>
      <c r="O17" s="6">
        <f>IF(F17="Yes",VLOOKUP(K17,'Rates_Courier Company'!$F$15:$G$20,2,0),0)*(I17/0.5 -1)</f>
        <v>0</v>
      </c>
      <c r="P17" s="18">
        <f t="shared" si="2"/>
        <v>135</v>
      </c>
      <c r="Q17" s="18">
        <f>VLOOKUP(A17,'Invoice_Courier Company'!B:C,2,0)</f>
        <v>1.28</v>
      </c>
      <c r="R17" s="18">
        <f t="shared" si="3"/>
        <v>1.5</v>
      </c>
      <c r="S17" s="6" t="str">
        <f>UPPER(VLOOKUP(A17,'Invoice_Courier Company'!B:G,5,FALSE))</f>
        <v>D</v>
      </c>
      <c r="T17" s="18">
        <f>VLOOKUP(A17,'Invoice_Courier Company'!B:H,7,0)</f>
        <v>135</v>
      </c>
      <c r="U17" s="18">
        <f t="shared" si="4"/>
        <v>0</v>
      </c>
      <c r="V17" s="32">
        <f t="shared" si="5"/>
        <v>0</v>
      </c>
      <c r="W17" s="18">
        <f t="shared" si="6"/>
        <v>135</v>
      </c>
      <c r="X17" s="6">
        <f t="shared" si="7"/>
        <v>0</v>
      </c>
    </row>
    <row r="18" spans="1:24" x14ac:dyDescent="0.3">
      <c r="A18" s="7">
        <v>2001808118</v>
      </c>
      <c r="B18" s="7">
        <v>1091117435134</v>
      </c>
      <c r="C18" s="6">
        <f>VLOOKUP(A18,'Invoice_Courier Company'!B:E,4,FALSE)</f>
        <v>140301</v>
      </c>
      <c r="D18" s="6" t="str">
        <f>VLOOKUP(A18,'Invoice_Courier Company'!B:G,6,FALSE)</f>
        <v>Forward charges</v>
      </c>
      <c r="E18" s="6" t="str">
        <f t="shared" si="0"/>
        <v>Yes</v>
      </c>
      <c r="F18" s="6" t="str">
        <f t="shared" si="1"/>
        <v>No</v>
      </c>
      <c r="G18" s="18">
        <f>SUMIFS('Order Report_Company X'!E:E,'Order Report_Company X'!A:A,A18)/1000</f>
        <v>0.34300000000000003</v>
      </c>
      <c r="H18" s="18">
        <f>SUMIFS('Order Report_Company X'!E:E,'Order Report_Company X'!A:A,'Order Level Calculation_Company'!A18)</f>
        <v>343</v>
      </c>
      <c r="I18" s="18" cm="1">
        <f t="array" ref="I18">_xlfn.IFS($G18&lt;=0.5,0.5,$G18&lt;=1,1,$G18&lt;=1.5,1.5,$G18&lt;=2,2,$G18&lt;=2.5,2.5,$G18&lt;=3,3,$G18&lt;=3.5,3.5,$G18&lt;=4,4)</f>
        <v>0.5</v>
      </c>
      <c r="J18" s="18" cm="1">
        <f t="array" ref="J18">_xlfn.IFS($H18&lt;=500,0.5,$H18&lt;=1000,1,$H18&lt;=1500,1.5,$H18&lt;=2000,2,$H18&lt;=2500,2.5,$H18&lt;=3000,3,$H18&lt;=3500,3.5,$H18&lt;=4000,4)*1000</f>
        <v>500</v>
      </c>
      <c r="K18" s="6" t="str">
        <f>UPPER(VLOOKUP(C18,'Zones Pincode_Company X'!B:C,2,FALSE))</f>
        <v>B</v>
      </c>
      <c r="L18" s="18">
        <f>VLOOKUP(K18,'Rates_Courier Company'!$B$7:$C$12,2,0)</f>
        <v>33</v>
      </c>
      <c r="M18" s="18">
        <f>VLOOKUP(K18,'Rates_Courier Company'!$B$15:$C$20,2,FALSE)*(I18/0.5-1)</f>
        <v>0</v>
      </c>
      <c r="N18" s="6">
        <f>IF(F18="Yes",VLOOKUP(K18,'Rates_Courier Company'!$F$7:$G$12,2,0),0)</f>
        <v>0</v>
      </c>
      <c r="O18" s="6">
        <f>IF(F18="Yes",VLOOKUP(K18,'Rates_Courier Company'!$F$15:$G$20,2,0),0)*(I18/0.5 -1)</f>
        <v>0</v>
      </c>
      <c r="P18" s="18">
        <f t="shared" si="2"/>
        <v>33</v>
      </c>
      <c r="Q18" s="18">
        <f>VLOOKUP(A18,'Invoice_Courier Company'!B:C,2,0)</f>
        <v>0.5</v>
      </c>
      <c r="R18" s="18">
        <f t="shared" si="3"/>
        <v>0.5</v>
      </c>
      <c r="S18" s="6" t="str">
        <f>UPPER(VLOOKUP(A18,'Invoice_Courier Company'!B:G,5,FALSE))</f>
        <v>B</v>
      </c>
      <c r="T18" s="18">
        <f>VLOOKUP(A18,'Invoice_Courier Company'!B:H,7,0)</f>
        <v>33</v>
      </c>
      <c r="U18" s="18">
        <f t="shared" si="4"/>
        <v>0</v>
      </c>
      <c r="V18" s="32">
        <f t="shared" si="5"/>
        <v>0</v>
      </c>
      <c r="W18" s="18">
        <f t="shared" si="6"/>
        <v>33</v>
      </c>
      <c r="X18" s="6">
        <f t="shared" si="7"/>
        <v>0</v>
      </c>
    </row>
    <row r="19" spans="1:24" x14ac:dyDescent="0.3">
      <c r="A19" s="7">
        <v>2001808207</v>
      </c>
      <c r="B19" s="7">
        <v>1091117435370</v>
      </c>
      <c r="C19" s="6">
        <f>VLOOKUP(A19,'Invoice_Courier Company'!B:E,4,FALSE)</f>
        <v>495671</v>
      </c>
      <c r="D19" s="6" t="str">
        <f>VLOOKUP(A19,'Invoice_Courier Company'!B:G,6,FALSE)</f>
        <v>Forward charges</v>
      </c>
      <c r="E19" s="6" t="str">
        <f t="shared" si="0"/>
        <v>Yes</v>
      </c>
      <c r="F19" s="6" t="str">
        <f t="shared" si="1"/>
        <v>No</v>
      </c>
      <c r="G19" s="18">
        <f>SUMIFS('Order Report_Company X'!E:E,'Order Report_Company X'!A:A,A19)/1000</f>
        <v>0.60699999999999998</v>
      </c>
      <c r="H19" s="18">
        <f>SUMIFS('Order Report_Company X'!E:E,'Order Report_Company X'!A:A,'Order Level Calculation_Company'!A19)</f>
        <v>607</v>
      </c>
      <c r="I19" s="18" cm="1">
        <f t="array" ref="I19">_xlfn.IFS($G19&lt;=0.5,0.5,$G19&lt;=1,1,$G19&lt;=1.5,1.5,$G19&lt;=2,2,$G19&lt;=2.5,2.5,$G19&lt;=3,3,$G19&lt;=3.5,3.5,$G19&lt;=4,4)</f>
        <v>1</v>
      </c>
      <c r="J19" s="18" cm="1">
        <f t="array" ref="J19">_xlfn.IFS($H19&lt;=500,0.5,$H19&lt;=1000,1,$H19&lt;=1500,1.5,$H19&lt;=2000,2,$H19&lt;=2500,2.5,$H19&lt;=3000,3,$H19&lt;=3500,3.5,$H19&lt;=4000,4)*1000</f>
        <v>1000</v>
      </c>
      <c r="K19" s="6" t="str">
        <f>UPPER(VLOOKUP(C19,'Zones Pincode_Company X'!B:C,2,FALSE))</f>
        <v>D</v>
      </c>
      <c r="L19" s="18">
        <f>VLOOKUP(K19,'Rates_Courier Company'!$B$7:$C$12,2,0)</f>
        <v>45.4</v>
      </c>
      <c r="M19" s="18">
        <f>VLOOKUP(K19,'Rates_Courier Company'!$B$15:$C$20,2,FALSE)*(I19/0.5-1)</f>
        <v>44.8</v>
      </c>
      <c r="N19" s="6">
        <f>IF(F19="Yes",VLOOKUP(K19,'Rates_Courier Company'!$F$7:$G$12,2,0),0)</f>
        <v>0</v>
      </c>
      <c r="O19" s="6">
        <f>IF(F19="Yes",VLOOKUP(K19,'Rates_Courier Company'!$F$15:$G$20,2,0),0)*(I19/0.5 -1)</f>
        <v>0</v>
      </c>
      <c r="P19" s="18">
        <f t="shared" si="2"/>
        <v>90.199999999999989</v>
      </c>
      <c r="Q19" s="18">
        <f>VLOOKUP(A19,'Invoice_Courier Company'!B:C,2,0)</f>
        <v>0.79</v>
      </c>
      <c r="R19" s="18">
        <f t="shared" si="3"/>
        <v>1</v>
      </c>
      <c r="S19" s="6" t="str">
        <f>UPPER(VLOOKUP(A19,'Invoice_Courier Company'!B:G,5,FALSE))</f>
        <v>D</v>
      </c>
      <c r="T19" s="18">
        <f>VLOOKUP(A19,'Invoice_Courier Company'!B:H,7,0)</f>
        <v>90.2</v>
      </c>
      <c r="U19" s="18">
        <f t="shared" si="4"/>
        <v>0</v>
      </c>
      <c r="V19" s="32">
        <f t="shared" si="5"/>
        <v>0</v>
      </c>
      <c r="W19" s="18">
        <f t="shared" si="6"/>
        <v>90.199999999999989</v>
      </c>
      <c r="X19" s="6">
        <f t="shared" si="7"/>
        <v>0</v>
      </c>
    </row>
    <row r="20" spans="1:24" x14ac:dyDescent="0.3">
      <c r="A20" s="7">
        <v>2001808295</v>
      </c>
      <c r="B20" s="7">
        <v>1091117435661</v>
      </c>
      <c r="C20" s="6">
        <f>VLOOKUP(A20,'Invoice_Courier Company'!B:E,4,FALSE)</f>
        <v>673002</v>
      </c>
      <c r="D20" s="6" t="str">
        <f>VLOOKUP(A20,'Invoice_Courier Company'!B:G,6,FALSE)</f>
        <v>Forward and RTO charges</v>
      </c>
      <c r="E20" s="6" t="str">
        <f t="shared" si="0"/>
        <v>No</v>
      </c>
      <c r="F20" s="6" t="str">
        <f t="shared" si="1"/>
        <v>Yes</v>
      </c>
      <c r="G20" s="18">
        <f>SUMIFS('Order Report_Company X'!E:E,'Order Report_Company X'!A:A,A20)/1000</f>
        <v>0.245</v>
      </c>
      <c r="H20" s="18">
        <f>SUMIFS('Order Report_Company X'!E:E,'Order Report_Company X'!A:A,'Order Level Calculation_Company'!A20)</f>
        <v>245</v>
      </c>
      <c r="I20" s="18" cm="1">
        <f t="array" ref="I20">_xlfn.IFS($G20&lt;=0.5,0.5,$G20&lt;=1,1,$G20&lt;=1.5,1.5,$G20&lt;=2,2,$G20&lt;=2.5,2.5,$G20&lt;=3,3,$G20&lt;=3.5,3.5,$G20&lt;=4,4)</f>
        <v>0.5</v>
      </c>
      <c r="J20" s="18" cm="1">
        <f t="array" ref="J20">_xlfn.IFS($H20&lt;=500,0.5,$H20&lt;=1000,1,$H20&lt;=1500,1.5,$H20&lt;=2000,2,$H20&lt;=2500,2.5,$H20&lt;=3000,3,$H20&lt;=3500,3.5,$H20&lt;=4000,4)*1000</f>
        <v>500</v>
      </c>
      <c r="K20" s="6" t="str">
        <f>UPPER(VLOOKUP(C20,'Zones Pincode_Company X'!B:C,2,FALSE))</f>
        <v>E</v>
      </c>
      <c r="L20" s="18">
        <f>VLOOKUP(K20,'Rates_Courier Company'!$B$7:$C$12,2,0)</f>
        <v>56.6</v>
      </c>
      <c r="M20" s="18">
        <f>VLOOKUP(K20,'Rates_Courier Company'!$B$15:$C$20,2,FALSE)*(I20/0.5-1)</f>
        <v>0</v>
      </c>
      <c r="N20" s="6">
        <f>IF(F20="Yes",VLOOKUP(K20,'Rates_Courier Company'!$F$7:$G$12,2,0),0)</f>
        <v>50.7</v>
      </c>
      <c r="O20" s="6">
        <f>IF(F20="Yes",VLOOKUP(K20,'Rates_Courier Company'!$F$15:$G$20,2,0),0)*(I20/0.5 -1)</f>
        <v>0</v>
      </c>
      <c r="P20" s="18">
        <f t="shared" si="2"/>
        <v>107.30000000000001</v>
      </c>
      <c r="Q20" s="18">
        <f>VLOOKUP(A20,'Invoice_Courier Company'!B:C,2,0)</f>
        <v>0.2</v>
      </c>
      <c r="R20" s="18">
        <f t="shared" si="3"/>
        <v>0.5</v>
      </c>
      <c r="S20" s="6" t="str">
        <f>UPPER(VLOOKUP(A20,'Invoice_Courier Company'!B:G,5,FALSE))</f>
        <v>E</v>
      </c>
      <c r="T20" s="18">
        <f>VLOOKUP(A20,'Invoice_Courier Company'!B:H,7,0)</f>
        <v>107.3</v>
      </c>
      <c r="U20" s="18">
        <f t="shared" si="4"/>
        <v>0</v>
      </c>
      <c r="V20" s="32">
        <f t="shared" si="5"/>
        <v>0</v>
      </c>
      <c r="W20" s="18">
        <f t="shared" si="6"/>
        <v>56.6</v>
      </c>
      <c r="X20" s="6">
        <f t="shared" si="7"/>
        <v>50.7</v>
      </c>
    </row>
    <row r="21" spans="1:24" x14ac:dyDescent="0.3">
      <c r="A21" s="7">
        <v>2001808507</v>
      </c>
      <c r="B21" s="7">
        <v>1091117436383</v>
      </c>
      <c r="C21" s="6">
        <f>VLOOKUP(A21,'Invoice_Courier Company'!B:E,4,FALSE)</f>
        <v>208002</v>
      </c>
      <c r="D21" s="6" t="str">
        <f>VLOOKUP(A21,'Invoice_Courier Company'!B:G,6,FALSE)</f>
        <v>Forward charges</v>
      </c>
      <c r="E21" s="6" t="str">
        <f t="shared" si="0"/>
        <v>Yes</v>
      </c>
      <c r="F21" s="6" t="str">
        <f t="shared" si="1"/>
        <v>No</v>
      </c>
      <c r="G21" s="18">
        <f>SUMIFS('Order Report_Company X'!E:E,'Order Report_Company X'!A:A,A21)/1000</f>
        <v>0.60699999999999998</v>
      </c>
      <c r="H21" s="18">
        <f>SUMIFS('Order Report_Company X'!E:E,'Order Report_Company X'!A:A,'Order Level Calculation_Company'!A21)</f>
        <v>607</v>
      </c>
      <c r="I21" s="18" cm="1">
        <f t="array" ref="I21">_xlfn.IFS($G21&lt;=0.5,0.5,$G21&lt;=1,1,$G21&lt;=1.5,1.5,$G21&lt;=2,2,$G21&lt;=2.5,2.5,$G21&lt;=3,3,$G21&lt;=3.5,3.5,$G21&lt;=4,4)</f>
        <v>1</v>
      </c>
      <c r="J21" s="18" cm="1">
        <f t="array" ref="J21">_xlfn.IFS($H21&lt;=500,0.5,$H21&lt;=1000,1,$H21&lt;=1500,1.5,$H21&lt;=2000,2,$H21&lt;=2500,2.5,$H21&lt;=3000,3,$H21&lt;=3500,3.5,$H21&lt;=4000,4)*1000</f>
        <v>1000</v>
      </c>
      <c r="K21" s="6" t="str">
        <f>UPPER(VLOOKUP(C21,'Zones Pincode_Company X'!B:C,2,FALSE))</f>
        <v>B</v>
      </c>
      <c r="L21" s="18">
        <f>VLOOKUP(K21,'Rates_Courier Company'!$B$7:$C$12,2,0)</f>
        <v>33</v>
      </c>
      <c r="M21" s="18">
        <f>VLOOKUP(K21,'Rates_Courier Company'!$B$15:$C$20,2,FALSE)*(I21/0.5-1)</f>
        <v>28.3</v>
      </c>
      <c r="N21" s="6">
        <f>IF(F21="Yes",VLOOKUP(K21,'Rates_Courier Company'!$F$7:$G$12,2,0),0)</f>
        <v>0</v>
      </c>
      <c r="O21" s="6">
        <f>IF(F21="Yes",VLOOKUP(K21,'Rates_Courier Company'!$F$15:$G$20,2,0),0)*(I21/0.5 -1)</f>
        <v>0</v>
      </c>
      <c r="P21" s="18">
        <f t="shared" si="2"/>
        <v>61.3</v>
      </c>
      <c r="Q21" s="18">
        <f>VLOOKUP(A21,'Invoice_Courier Company'!B:C,2,0)</f>
        <v>0.79</v>
      </c>
      <c r="R21" s="18">
        <f t="shared" si="3"/>
        <v>1</v>
      </c>
      <c r="S21" s="6" t="str">
        <f>UPPER(VLOOKUP(A21,'Invoice_Courier Company'!B:G,5,FALSE))</f>
        <v>B</v>
      </c>
      <c r="T21" s="18">
        <f>VLOOKUP(A21,'Invoice_Courier Company'!B:H,7,0)</f>
        <v>61.3</v>
      </c>
      <c r="U21" s="18">
        <f t="shared" si="4"/>
        <v>0</v>
      </c>
      <c r="V21" s="32">
        <f t="shared" si="5"/>
        <v>0</v>
      </c>
      <c r="W21" s="18">
        <f t="shared" si="6"/>
        <v>61.3</v>
      </c>
      <c r="X21" s="6">
        <f t="shared" si="7"/>
        <v>0</v>
      </c>
    </row>
    <row r="22" spans="1:24" x14ac:dyDescent="0.3">
      <c r="A22" s="7">
        <v>2001808542</v>
      </c>
      <c r="B22" s="7">
        <v>1091117436464</v>
      </c>
      <c r="C22" s="6">
        <f>VLOOKUP(A22,'Invoice_Courier Company'!B:E,4,FALSE)</f>
        <v>416010</v>
      </c>
      <c r="D22" s="6" t="str">
        <f>VLOOKUP(A22,'Invoice_Courier Company'!B:G,6,FALSE)</f>
        <v>Forward charges</v>
      </c>
      <c r="E22" s="6" t="str">
        <f t="shared" si="0"/>
        <v>Yes</v>
      </c>
      <c r="F22" s="6" t="str">
        <f t="shared" si="1"/>
        <v>No</v>
      </c>
      <c r="G22" s="18">
        <f>SUMIFS('Order Report_Company X'!E:E,'Order Report_Company X'!A:A,A22)/1000</f>
        <v>0.73399999999999999</v>
      </c>
      <c r="H22" s="18">
        <f>SUMIFS('Order Report_Company X'!E:E,'Order Report_Company X'!A:A,'Order Level Calculation_Company'!A22)</f>
        <v>734</v>
      </c>
      <c r="I22" s="18" cm="1">
        <f t="array" ref="I22">_xlfn.IFS($G22&lt;=0.5,0.5,$G22&lt;=1,1,$G22&lt;=1.5,1.5,$G22&lt;=2,2,$G22&lt;=2.5,2.5,$G22&lt;=3,3,$G22&lt;=3.5,3.5,$G22&lt;=4,4)</f>
        <v>1</v>
      </c>
      <c r="J22" s="18" cm="1">
        <f t="array" ref="J22">_xlfn.IFS($H22&lt;=500,0.5,$H22&lt;=1000,1,$H22&lt;=1500,1.5,$H22&lt;=2000,2,$H22&lt;=2500,2.5,$H22&lt;=3000,3,$H22&lt;=3500,3.5,$H22&lt;=4000,4)*1000</f>
        <v>1000</v>
      </c>
      <c r="K22" s="6" t="str">
        <f>UPPER(VLOOKUP(C22,'Zones Pincode_Company X'!B:C,2,FALSE))</f>
        <v>D</v>
      </c>
      <c r="L22" s="18">
        <f>VLOOKUP(K22,'Rates_Courier Company'!$B$7:$C$12,2,0)</f>
        <v>45.4</v>
      </c>
      <c r="M22" s="18">
        <f>VLOOKUP(K22,'Rates_Courier Company'!$B$15:$C$20,2,FALSE)*(I22/0.5-1)</f>
        <v>44.8</v>
      </c>
      <c r="N22" s="6">
        <f>IF(F22="Yes",VLOOKUP(K22,'Rates_Courier Company'!$F$7:$G$12,2,0),0)</f>
        <v>0</v>
      </c>
      <c r="O22" s="6">
        <f>IF(F22="Yes",VLOOKUP(K22,'Rates_Courier Company'!$F$15:$G$20,2,0),0)*(I22/0.5 -1)</f>
        <v>0</v>
      </c>
      <c r="P22" s="18">
        <f t="shared" si="2"/>
        <v>90.199999999999989</v>
      </c>
      <c r="Q22" s="18">
        <f>VLOOKUP(A22,'Invoice_Courier Company'!B:C,2,0)</f>
        <v>0.86</v>
      </c>
      <c r="R22" s="18">
        <f t="shared" si="3"/>
        <v>1</v>
      </c>
      <c r="S22" s="6" t="str">
        <f>UPPER(VLOOKUP(A22,'Invoice_Courier Company'!B:G,5,FALSE))</f>
        <v>D</v>
      </c>
      <c r="T22" s="18">
        <f>VLOOKUP(A22,'Invoice_Courier Company'!B:H,7,0)</f>
        <v>90.2</v>
      </c>
      <c r="U22" s="18">
        <f t="shared" si="4"/>
        <v>0</v>
      </c>
      <c r="V22" s="32">
        <f t="shared" si="5"/>
        <v>0</v>
      </c>
      <c r="W22" s="18">
        <f t="shared" si="6"/>
        <v>90.199999999999989</v>
      </c>
      <c r="X22" s="6">
        <f t="shared" si="7"/>
        <v>0</v>
      </c>
    </row>
    <row r="23" spans="1:24" x14ac:dyDescent="0.3">
      <c r="A23" s="7">
        <v>2001808675</v>
      </c>
      <c r="B23" s="7">
        <v>1091117437050</v>
      </c>
      <c r="C23" s="6">
        <f>VLOOKUP(A23,'Invoice_Courier Company'!B:E,4,FALSE)</f>
        <v>226010</v>
      </c>
      <c r="D23" s="6" t="str">
        <f>VLOOKUP(A23,'Invoice_Courier Company'!B:G,6,FALSE)</f>
        <v>Forward charges</v>
      </c>
      <c r="E23" s="6" t="str">
        <f t="shared" si="0"/>
        <v>Yes</v>
      </c>
      <c r="F23" s="6" t="str">
        <f t="shared" si="1"/>
        <v>No</v>
      </c>
      <c r="G23" s="18">
        <f>SUMIFS('Order Report_Company X'!E:E,'Order Report_Company X'!A:A,A23)/1000</f>
        <v>1.1830000000000001</v>
      </c>
      <c r="H23" s="18">
        <f>SUMIFS('Order Report_Company X'!E:E,'Order Report_Company X'!A:A,'Order Level Calculation_Company'!A23)</f>
        <v>1183</v>
      </c>
      <c r="I23" s="18" cm="1">
        <f t="array" ref="I23">_xlfn.IFS($G23&lt;=0.5,0.5,$G23&lt;=1,1,$G23&lt;=1.5,1.5,$G23&lt;=2,2,$G23&lt;=2.5,2.5,$G23&lt;=3,3,$G23&lt;=3.5,3.5,$G23&lt;=4,4)</f>
        <v>1.5</v>
      </c>
      <c r="J23" s="18" cm="1">
        <f t="array" ref="J23">_xlfn.IFS($H23&lt;=500,0.5,$H23&lt;=1000,1,$H23&lt;=1500,1.5,$H23&lt;=2000,2,$H23&lt;=2500,2.5,$H23&lt;=3000,3,$H23&lt;=3500,3.5,$H23&lt;=4000,4)*1000</f>
        <v>1500</v>
      </c>
      <c r="K23" s="6" t="str">
        <f>UPPER(VLOOKUP(C23,'Zones Pincode_Company X'!B:C,2,FALSE))</f>
        <v>B</v>
      </c>
      <c r="L23" s="18">
        <f>VLOOKUP(K23,'Rates_Courier Company'!$B$7:$C$12,2,0)</f>
        <v>33</v>
      </c>
      <c r="M23" s="18">
        <f>VLOOKUP(K23,'Rates_Courier Company'!$B$15:$C$20,2,FALSE)*(I23/0.5-1)</f>
        <v>56.6</v>
      </c>
      <c r="N23" s="6">
        <f>IF(F23="Yes",VLOOKUP(K23,'Rates_Courier Company'!$F$7:$G$12,2,0),0)</f>
        <v>0</v>
      </c>
      <c r="O23" s="6">
        <f>IF(F23="Yes",VLOOKUP(K23,'Rates_Courier Company'!$F$15:$G$20,2,0),0)*(I23/0.5 -1)</f>
        <v>0</v>
      </c>
      <c r="P23" s="18">
        <f t="shared" si="2"/>
        <v>89.6</v>
      </c>
      <c r="Q23" s="18">
        <f>VLOOKUP(A23,'Invoice_Courier Company'!B:C,2,0)</f>
        <v>1.2</v>
      </c>
      <c r="R23" s="18">
        <f t="shared" si="3"/>
        <v>1.5</v>
      </c>
      <c r="S23" s="6" t="str">
        <f>UPPER(VLOOKUP(A23,'Invoice_Courier Company'!B:G,5,FALSE))</f>
        <v>B</v>
      </c>
      <c r="T23" s="18">
        <f>VLOOKUP(A23,'Invoice_Courier Company'!B:H,7,0)</f>
        <v>89.6</v>
      </c>
      <c r="U23" s="18">
        <f t="shared" si="4"/>
        <v>0</v>
      </c>
      <c r="V23" s="32">
        <f t="shared" si="5"/>
        <v>0</v>
      </c>
      <c r="W23" s="18">
        <f t="shared" si="6"/>
        <v>89.6</v>
      </c>
      <c r="X23" s="6">
        <f t="shared" si="7"/>
        <v>0</v>
      </c>
    </row>
    <row r="24" spans="1:24" x14ac:dyDescent="0.3">
      <c r="A24" s="7">
        <v>2001807976</v>
      </c>
      <c r="B24" s="7">
        <v>1091117327496</v>
      </c>
      <c r="C24" s="6">
        <f>VLOOKUP(A24,'Invoice_Courier Company'!B:E,4,FALSE)</f>
        <v>400705</v>
      </c>
      <c r="D24" s="6" t="str">
        <f>VLOOKUP(A24,'Invoice_Courier Company'!B:G,6,FALSE)</f>
        <v>Forward and RTO charges</v>
      </c>
      <c r="E24" s="6" t="str">
        <f t="shared" si="0"/>
        <v>No</v>
      </c>
      <c r="F24" s="6" t="str">
        <f t="shared" si="1"/>
        <v>Yes</v>
      </c>
      <c r="G24" s="18">
        <f>SUMIFS('Order Report_Company X'!E:E,'Order Report_Company X'!A:A,A24)/1000</f>
        <v>0.72099999999999997</v>
      </c>
      <c r="H24" s="18">
        <f>SUMIFS('Order Report_Company X'!E:E,'Order Report_Company X'!A:A,'Order Level Calculation_Company'!A24)</f>
        <v>721</v>
      </c>
      <c r="I24" s="18" cm="1">
        <f t="array" ref="I24">_xlfn.IFS($G24&lt;=0.5,0.5,$G24&lt;=1,1,$G24&lt;=1.5,1.5,$G24&lt;=2,2,$G24&lt;=2.5,2.5,$G24&lt;=3,3,$G24&lt;=3.5,3.5,$G24&lt;=4,4)</f>
        <v>1</v>
      </c>
      <c r="J24" s="18" cm="1">
        <f t="array" ref="J24">_xlfn.IFS($H24&lt;=500,0.5,$H24&lt;=1000,1,$H24&lt;=1500,1.5,$H24&lt;=2000,2,$H24&lt;=2500,2.5,$H24&lt;=3000,3,$H24&lt;=3500,3.5,$H24&lt;=4000,4)*1000</f>
        <v>1000</v>
      </c>
      <c r="K24" s="6" t="str">
        <f>UPPER(VLOOKUP(C24,'Zones Pincode_Company X'!B:C,2,FALSE))</f>
        <v>D</v>
      </c>
      <c r="L24" s="18">
        <f>VLOOKUP(K24,'Rates_Courier Company'!$B$7:$C$12,2,0)</f>
        <v>45.4</v>
      </c>
      <c r="M24" s="18">
        <f>VLOOKUP(K24,'Rates_Courier Company'!$B$15:$C$20,2,FALSE)*(I24/0.5-1)</f>
        <v>44.8</v>
      </c>
      <c r="N24" s="6">
        <f>IF(F24="Yes",VLOOKUP(K24,'Rates_Courier Company'!$F$7:$G$12,2,0),0)</f>
        <v>41.3</v>
      </c>
      <c r="O24" s="6">
        <f>IF(F24="Yes",VLOOKUP(K24,'Rates_Courier Company'!$F$15:$G$20,2,0),0)*(I24/0.5 -1)</f>
        <v>44.8</v>
      </c>
      <c r="P24" s="18">
        <f t="shared" si="2"/>
        <v>176.3</v>
      </c>
      <c r="Q24" s="18">
        <f>VLOOKUP(A24,'Invoice_Courier Company'!B:C,2,0)</f>
        <v>0.7</v>
      </c>
      <c r="R24" s="18">
        <f t="shared" si="3"/>
        <v>1</v>
      </c>
      <c r="S24" s="6" t="str">
        <f>UPPER(VLOOKUP(A24,'Invoice_Courier Company'!B:G,5,FALSE))</f>
        <v>D</v>
      </c>
      <c r="T24" s="18">
        <f>VLOOKUP(A24,'Invoice_Courier Company'!B:H,7,0)</f>
        <v>172.8</v>
      </c>
      <c r="U24" s="18">
        <f t="shared" si="4"/>
        <v>3.5</v>
      </c>
      <c r="V24" s="32">
        <f t="shared" si="5"/>
        <v>1.9852524106636415E-2</v>
      </c>
      <c r="W24" s="18">
        <f t="shared" si="6"/>
        <v>90.199999999999989</v>
      </c>
      <c r="X24" s="6">
        <f t="shared" si="7"/>
        <v>86.1</v>
      </c>
    </row>
    <row r="25" spans="1:24" x14ac:dyDescent="0.3">
      <c r="A25" s="7">
        <v>2001812838</v>
      </c>
      <c r="B25" s="7">
        <v>1091118547832</v>
      </c>
      <c r="C25" s="6">
        <f>VLOOKUP(A25,'Invoice_Courier Company'!B:E,4,FALSE)</f>
        <v>262405</v>
      </c>
      <c r="D25" s="6" t="str">
        <f>VLOOKUP(A25,'Invoice_Courier Company'!B:G,6,FALSE)</f>
        <v>Forward and RTO charges</v>
      </c>
      <c r="E25" s="6" t="str">
        <f t="shared" si="0"/>
        <v>No</v>
      </c>
      <c r="F25" s="6" t="str">
        <f t="shared" si="1"/>
        <v>Yes</v>
      </c>
      <c r="G25" s="18">
        <f>SUMIFS('Order Report_Company X'!E:E,'Order Report_Company X'!A:A,A25)/1000</f>
        <v>0.55800000000000005</v>
      </c>
      <c r="H25" s="18">
        <f>SUMIFS('Order Report_Company X'!E:E,'Order Report_Company X'!A:A,'Order Level Calculation_Company'!A25)</f>
        <v>558</v>
      </c>
      <c r="I25" s="18" cm="1">
        <f t="array" ref="I25">_xlfn.IFS($G25&lt;=0.5,0.5,$G25&lt;=1,1,$G25&lt;=1.5,1.5,$G25&lt;=2,2,$G25&lt;=2.5,2.5,$G25&lt;=3,3,$G25&lt;=3.5,3.5,$G25&lt;=4,4)</f>
        <v>1</v>
      </c>
      <c r="J25" s="18" cm="1">
        <f t="array" ref="J25">_xlfn.IFS($H25&lt;=500,0.5,$H25&lt;=1000,1,$H25&lt;=1500,1.5,$H25&lt;=2000,2,$H25&lt;=2500,2.5,$H25&lt;=3000,3,$H25&lt;=3500,3.5,$H25&lt;=4000,4)*1000</f>
        <v>1000</v>
      </c>
      <c r="K25" s="6" t="str">
        <f>UPPER(VLOOKUP(C25,'Zones Pincode_Company X'!B:C,2,FALSE))</f>
        <v>B</v>
      </c>
      <c r="L25" s="18">
        <f>VLOOKUP(K25,'Rates_Courier Company'!$B$7:$C$12,2,0)</f>
        <v>33</v>
      </c>
      <c r="M25" s="18">
        <f>VLOOKUP(K25,'Rates_Courier Company'!$B$15:$C$20,2,FALSE)*(I25/0.5-1)</f>
        <v>28.3</v>
      </c>
      <c r="N25" s="6">
        <f>IF(F25="Yes",VLOOKUP(K25,'Rates_Courier Company'!$F$7:$G$12,2,0),0)</f>
        <v>20.5</v>
      </c>
      <c r="O25" s="6">
        <f>IF(F25="Yes",VLOOKUP(K25,'Rates_Courier Company'!$F$15:$G$20,2,0),0)*(I25/0.5 -1)</f>
        <v>28.3</v>
      </c>
      <c r="P25" s="18">
        <f t="shared" si="2"/>
        <v>110.1</v>
      </c>
      <c r="Q25" s="18">
        <f>VLOOKUP(A25,'Invoice_Courier Company'!B:C,2,0)</f>
        <v>0.6</v>
      </c>
      <c r="R25" s="18">
        <f t="shared" si="3"/>
        <v>1</v>
      </c>
      <c r="S25" s="6" t="str">
        <f>UPPER(VLOOKUP(A25,'Invoice_Courier Company'!B:G,5,FALSE))</f>
        <v>B</v>
      </c>
      <c r="T25" s="18">
        <f>VLOOKUP(A25,'Invoice_Courier Company'!B:H,7,0)</f>
        <v>102.3</v>
      </c>
      <c r="U25" s="18">
        <f t="shared" si="4"/>
        <v>7.7999999999999972</v>
      </c>
      <c r="V25" s="32">
        <f t="shared" si="5"/>
        <v>7.084468664850134E-2</v>
      </c>
      <c r="W25" s="18">
        <f t="shared" si="6"/>
        <v>61.3</v>
      </c>
      <c r="X25" s="6">
        <f t="shared" si="7"/>
        <v>48.8</v>
      </c>
    </row>
    <row r="26" spans="1:24" x14ac:dyDescent="0.3">
      <c r="A26" s="7">
        <v>2001816684</v>
      </c>
      <c r="B26" s="7">
        <v>1091119398844</v>
      </c>
      <c r="C26" s="6">
        <f>VLOOKUP(A26,'Invoice_Courier Company'!B:E,4,FALSE)</f>
        <v>394210</v>
      </c>
      <c r="D26" s="6" t="str">
        <f>VLOOKUP(A26,'Invoice_Courier Company'!B:G,6,FALSE)</f>
        <v>Forward and RTO charges</v>
      </c>
      <c r="E26" s="6" t="str">
        <f t="shared" si="0"/>
        <v>No</v>
      </c>
      <c r="F26" s="6" t="str">
        <f t="shared" si="1"/>
        <v>Yes</v>
      </c>
      <c r="G26" s="18">
        <f>SUMIFS('Order Report_Company X'!E:E,'Order Report_Company X'!A:A,A26)/1000</f>
        <v>0.92</v>
      </c>
      <c r="H26" s="18">
        <f>SUMIFS('Order Report_Company X'!E:E,'Order Report_Company X'!A:A,'Order Level Calculation_Company'!A26)</f>
        <v>920</v>
      </c>
      <c r="I26" s="18" cm="1">
        <f t="array" ref="I26">_xlfn.IFS($G26&lt;=0.5,0.5,$G26&lt;=1,1,$G26&lt;=1.5,1.5,$G26&lt;=2,2,$G26&lt;=2.5,2.5,$G26&lt;=3,3,$G26&lt;=3.5,3.5,$G26&lt;=4,4)</f>
        <v>1</v>
      </c>
      <c r="J26" s="18" cm="1">
        <f t="array" ref="J26">_xlfn.IFS($H26&lt;=500,0.5,$H26&lt;=1000,1,$H26&lt;=1500,1.5,$H26&lt;=2000,2,$H26&lt;=2500,2.5,$H26&lt;=3000,3,$H26&lt;=3500,3.5,$H26&lt;=4000,4)*1000</f>
        <v>1000</v>
      </c>
      <c r="K26" s="6" t="str">
        <f>UPPER(VLOOKUP(C26,'Zones Pincode_Company X'!B:C,2,FALSE))</f>
        <v>D</v>
      </c>
      <c r="L26" s="18">
        <f>VLOOKUP(K26,'Rates_Courier Company'!$B$7:$C$12,2,0)</f>
        <v>45.4</v>
      </c>
      <c r="M26" s="18">
        <f>VLOOKUP(K26,'Rates_Courier Company'!$B$15:$C$20,2,FALSE)*(I26/0.5-1)</f>
        <v>44.8</v>
      </c>
      <c r="N26" s="6">
        <f>IF(F26="Yes",VLOOKUP(K26,'Rates_Courier Company'!$F$7:$G$12,2,0),0)</f>
        <v>41.3</v>
      </c>
      <c r="O26" s="6">
        <f>IF(F26="Yes",VLOOKUP(K26,'Rates_Courier Company'!$F$15:$G$20,2,0),0)*(I26/0.5 -1)</f>
        <v>44.8</v>
      </c>
      <c r="P26" s="18">
        <f t="shared" si="2"/>
        <v>176.3</v>
      </c>
      <c r="Q26" s="18">
        <f>VLOOKUP(A26,'Invoice_Courier Company'!B:C,2,0)</f>
        <v>0.99</v>
      </c>
      <c r="R26" s="18">
        <f t="shared" si="3"/>
        <v>1</v>
      </c>
      <c r="S26" s="6" t="str">
        <f>UPPER(VLOOKUP(A26,'Invoice_Courier Company'!B:G,5,FALSE))</f>
        <v>D</v>
      </c>
      <c r="T26" s="18">
        <f>VLOOKUP(A26,'Invoice_Courier Company'!B:H,7,0)</f>
        <v>172.8</v>
      </c>
      <c r="U26" s="18">
        <f t="shared" si="4"/>
        <v>3.5</v>
      </c>
      <c r="V26" s="32">
        <f t="shared" si="5"/>
        <v>1.9852524106636415E-2</v>
      </c>
      <c r="W26" s="18">
        <f t="shared" si="6"/>
        <v>90.199999999999989</v>
      </c>
      <c r="X26" s="6">
        <f t="shared" si="7"/>
        <v>86.1</v>
      </c>
    </row>
    <row r="27" spans="1:24" x14ac:dyDescent="0.3">
      <c r="A27" s="7">
        <v>2001817160</v>
      </c>
      <c r="B27" s="7">
        <v>1091119630264</v>
      </c>
      <c r="C27" s="6">
        <f>VLOOKUP(A27,'Invoice_Courier Company'!B:E,4,FALSE)</f>
        <v>411014</v>
      </c>
      <c r="D27" s="6" t="str">
        <f>VLOOKUP(A27,'Invoice_Courier Company'!B:G,6,FALSE)</f>
        <v>Forward and RTO charges</v>
      </c>
      <c r="E27" s="6" t="str">
        <f t="shared" si="0"/>
        <v>No</v>
      </c>
      <c r="F27" s="6" t="str">
        <f t="shared" si="1"/>
        <v>Yes</v>
      </c>
      <c r="G27" s="18">
        <f>SUMIFS('Order Report_Company X'!E:E,'Order Report_Company X'!A:A,A27)/1000</f>
        <v>0.7</v>
      </c>
      <c r="H27" s="18">
        <f>SUMIFS('Order Report_Company X'!E:E,'Order Report_Company X'!A:A,'Order Level Calculation_Company'!A27)</f>
        <v>700</v>
      </c>
      <c r="I27" s="18" cm="1">
        <f t="array" ref="I27">_xlfn.IFS($G27&lt;=0.5,0.5,$G27&lt;=1,1,$G27&lt;=1.5,1.5,$G27&lt;=2,2,$G27&lt;=2.5,2.5,$G27&lt;=3,3,$G27&lt;=3.5,3.5,$G27&lt;=4,4)</f>
        <v>1</v>
      </c>
      <c r="J27" s="18" cm="1">
        <f t="array" ref="J27">_xlfn.IFS($H27&lt;=500,0.5,$H27&lt;=1000,1,$H27&lt;=1500,1.5,$H27&lt;=2000,2,$H27&lt;=2500,2.5,$H27&lt;=3000,3,$H27&lt;=3500,3.5,$H27&lt;=4000,4)*1000</f>
        <v>1000</v>
      </c>
      <c r="K27" s="6" t="str">
        <f>UPPER(VLOOKUP(C27,'Zones Pincode_Company X'!B:C,2,FALSE))</f>
        <v>D</v>
      </c>
      <c r="L27" s="18">
        <f>VLOOKUP(K27,'Rates_Courier Company'!$B$7:$C$12,2,0)</f>
        <v>45.4</v>
      </c>
      <c r="M27" s="18">
        <f>VLOOKUP(K27,'Rates_Courier Company'!$B$15:$C$20,2,FALSE)*(I27/0.5-1)</f>
        <v>44.8</v>
      </c>
      <c r="N27" s="6">
        <f>IF(F27="Yes",VLOOKUP(K27,'Rates_Courier Company'!$F$7:$G$12,2,0),0)</f>
        <v>41.3</v>
      </c>
      <c r="O27" s="6">
        <f>IF(F27="Yes",VLOOKUP(K27,'Rates_Courier Company'!$F$15:$G$20,2,0),0)*(I27/0.5 -1)</f>
        <v>44.8</v>
      </c>
      <c r="P27" s="18">
        <f t="shared" si="2"/>
        <v>176.3</v>
      </c>
      <c r="Q27" s="18">
        <f>VLOOKUP(A27,'Invoice_Courier Company'!B:C,2,0)</f>
        <v>0.7</v>
      </c>
      <c r="R27" s="18">
        <f t="shared" si="3"/>
        <v>1</v>
      </c>
      <c r="S27" s="6" t="str">
        <f>UPPER(VLOOKUP(A27,'Invoice_Courier Company'!B:G,5,FALSE))</f>
        <v>D</v>
      </c>
      <c r="T27" s="18">
        <f>VLOOKUP(A27,'Invoice_Courier Company'!B:H,7,0)</f>
        <v>172.8</v>
      </c>
      <c r="U27" s="18">
        <f t="shared" si="4"/>
        <v>3.5</v>
      </c>
      <c r="V27" s="32">
        <f t="shared" si="5"/>
        <v>1.9852524106636415E-2</v>
      </c>
      <c r="W27" s="18">
        <f t="shared" si="6"/>
        <v>90.199999999999989</v>
      </c>
      <c r="X27" s="6">
        <f t="shared" si="7"/>
        <v>86.1</v>
      </c>
    </row>
    <row r="28" spans="1:24" x14ac:dyDescent="0.3">
      <c r="A28" s="7">
        <v>2001818390</v>
      </c>
      <c r="B28" s="7">
        <v>1091120014461</v>
      </c>
      <c r="C28" s="6">
        <f>VLOOKUP(A28,'Invoice_Courier Company'!B:E,4,FALSE)</f>
        <v>783301</v>
      </c>
      <c r="D28" s="6" t="str">
        <f>VLOOKUP(A28,'Invoice_Courier Company'!B:G,6,FALSE)</f>
        <v>Forward and RTO charges</v>
      </c>
      <c r="E28" s="6" t="str">
        <f t="shared" si="0"/>
        <v>No</v>
      </c>
      <c r="F28" s="6" t="str">
        <f t="shared" si="1"/>
        <v>Yes</v>
      </c>
      <c r="G28" s="18">
        <f>SUMIFS('Order Report_Company X'!E:E,'Order Report_Company X'!A:A,A28)/1000</f>
        <v>0.84099999999999997</v>
      </c>
      <c r="H28" s="18">
        <f>SUMIFS('Order Report_Company X'!E:E,'Order Report_Company X'!A:A,'Order Level Calculation_Company'!A28)</f>
        <v>841</v>
      </c>
      <c r="I28" s="18" cm="1">
        <f t="array" ref="I28">_xlfn.IFS($G28&lt;=0.5,0.5,$G28&lt;=1,1,$G28&lt;=1.5,1.5,$G28&lt;=2,2,$G28&lt;=2.5,2.5,$G28&lt;=3,3,$G28&lt;=3.5,3.5,$G28&lt;=4,4)</f>
        <v>1</v>
      </c>
      <c r="J28" s="18" cm="1">
        <f t="array" ref="J28">_xlfn.IFS($H28&lt;=500,0.5,$H28&lt;=1000,1,$H28&lt;=1500,1.5,$H28&lt;=2000,2,$H28&lt;=2500,2.5,$H28&lt;=3000,3,$H28&lt;=3500,3.5,$H28&lt;=4000,4)*1000</f>
        <v>1000</v>
      </c>
      <c r="K28" s="6" t="str">
        <f>UPPER(VLOOKUP(C28,'Zones Pincode_Company X'!B:C,2,FALSE))</f>
        <v>E</v>
      </c>
      <c r="L28" s="18">
        <f>VLOOKUP(K28,'Rates_Courier Company'!$B$7:$C$12,2,0)</f>
        <v>56.6</v>
      </c>
      <c r="M28" s="18">
        <f>VLOOKUP(K28,'Rates_Courier Company'!$B$15:$C$20,2,FALSE)*(I28/0.5-1)</f>
        <v>55.5</v>
      </c>
      <c r="N28" s="6">
        <f>IF(F28="Yes",VLOOKUP(K28,'Rates_Courier Company'!$F$7:$G$12,2,0),0)</f>
        <v>50.7</v>
      </c>
      <c r="O28" s="6">
        <f>IF(F28="Yes",VLOOKUP(K28,'Rates_Courier Company'!$F$15:$G$20,2,0),0)*(I28/0.5 -1)</f>
        <v>55.5</v>
      </c>
      <c r="P28" s="18">
        <f t="shared" si="2"/>
        <v>218.3</v>
      </c>
      <c r="Q28" s="18">
        <f>VLOOKUP(A28,'Invoice_Courier Company'!B:C,2,0)</f>
        <v>0.8</v>
      </c>
      <c r="R28" s="18">
        <f t="shared" si="3"/>
        <v>1</v>
      </c>
      <c r="S28" s="6" t="str">
        <f>UPPER(VLOOKUP(A28,'Invoice_Courier Company'!B:G,5,FALSE))</f>
        <v>E</v>
      </c>
      <c r="T28" s="18">
        <f>VLOOKUP(A28,'Invoice_Courier Company'!B:H,7,0)</f>
        <v>213.5</v>
      </c>
      <c r="U28" s="18">
        <f t="shared" si="4"/>
        <v>4.8000000000000114</v>
      </c>
      <c r="V28" s="32">
        <f t="shared" si="5"/>
        <v>2.1988089784700005E-2</v>
      </c>
      <c r="W28" s="18">
        <f t="shared" si="6"/>
        <v>112.1</v>
      </c>
      <c r="X28" s="6">
        <f t="shared" si="7"/>
        <v>106.2</v>
      </c>
    </row>
    <row r="29" spans="1:24" x14ac:dyDescent="0.3">
      <c r="A29" s="7">
        <v>2001821190</v>
      </c>
      <c r="B29" s="7">
        <v>1091120959015</v>
      </c>
      <c r="C29" s="6">
        <f>VLOOKUP(A29,'Invoice_Courier Company'!B:E,4,FALSE)</f>
        <v>486661</v>
      </c>
      <c r="D29" s="6" t="str">
        <f>VLOOKUP(A29,'Invoice_Courier Company'!B:G,6,FALSE)</f>
        <v>Forward and RTO charges</v>
      </c>
      <c r="E29" s="6" t="str">
        <f t="shared" si="0"/>
        <v>No</v>
      </c>
      <c r="F29" s="6" t="str">
        <f t="shared" si="1"/>
        <v>Yes</v>
      </c>
      <c r="G29" s="18">
        <f>SUMIFS('Order Report_Company X'!E:E,'Order Report_Company X'!A:A,A29)/1000</f>
        <v>1.2</v>
      </c>
      <c r="H29" s="18">
        <f>SUMIFS('Order Report_Company X'!E:E,'Order Report_Company X'!A:A,'Order Level Calculation_Company'!A29)</f>
        <v>1200</v>
      </c>
      <c r="I29" s="18" cm="1">
        <f t="array" ref="I29">_xlfn.IFS($G29&lt;=0.5,0.5,$G29&lt;=1,1,$G29&lt;=1.5,1.5,$G29&lt;=2,2,$G29&lt;=2.5,2.5,$G29&lt;=3,3,$G29&lt;=3.5,3.5,$G29&lt;=4,4)</f>
        <v>1.5</v>
      </c>
      <c r="J29" s="18" cm="1">
        <f t="array" ref="J29">_xlfn.IFS($H29&lt;=500,0.5,$H29&lt;=1000,1,$H29&lt;=1500,1.5,$H29&lt;=2000,2,$H29&lt;=2500,2.5,$H29&lt;=3000,3,$H29&lt;=3500,3.5,$H29&lt;=4000,4)*1000</f>
        <v>1500</v>
      </c>
      <c r="K29" s="6" t="str">
        <f>UPPER(VLOOKUP(C29,'Zones Pincode_Company X'!B:C,2,FALSE))</f>
        <v>D</v>
      </c>
      <c r="L29" s="18">
        <f>VLOOKUP(K29,'Rates_Courier Company'!$B$7:$C$12,2,0)</f>
        <v>45.4</v>
      </c>
      <c r="M29" s="18">
        <f>VLOOKUP(K29,'Rates_Courier Company'!$B$15:$C$20,2,FALSE)*(I29/0.5-1)</f>
        <v>89.6</v>
      </c>
      <c r="N29" s="6">
        <f>IF(F29="Yes",VLOOKUP(K29,'Rates_Courier Company'!$F$7:$G$12,2,0),0)</f>
        <v>41.3</v>
      </c>
      <c r="O29" s="6">
        <f>IF(F29="Yes",VLOOKUP(K29,'Rates_Courier Company'!$F$15:$G$20,2,0),0)*(I29/0.5 -1)</f>
        <v>89.6</v>
      </c>
      <c r="P29" s="18">
        <f t="shared" si="2"/>
        <v>265.89999999999998</v>
      </c>
      <c r="Q29" s="18">
        <f>VLOOKUP(A29,'Invoice_Courier Company'!B:C,2,0)</f>
        <v>1.2</v>
      </c>
      <c r="R29" s="18">
        <f t="shared" si="3"/>
        <v>1.5</v>
      </c>
      <c r="S29" s="6" t="str">
        <f>UPPER(VLOOKUP(A29,'Invoice_Courier Company'!B:G,5,FALSE))</f>
        <v>D</v>
      </c>
      <c r="T29" s="18">
        <f>VLOOKUP(A29,'Invoice_Courier Company'!B:H,7,0)</f>
        <v>258.89999999999998</v>
      </c>
      <c r="U29" s="18">
        <f t="shared" si="4"/>
        <v>7</v>
      </c>
      <c r="V29" s="32">
        <f t="shared" si="5"/>
        <v>2.6325686348251224E-2</v>
      </c>
      <c r="W29" s="18">
        <f t="shared" si="6"/>
        <v>135</v>
      </c>
      <c r="X29" s="6">
        <f t="shared" si="7"/>
        <v>130.89999999999998</v>
      </c>
    </row>
    <row r="30" spans="1:24" x14ac:dyDescent="0.3">
      <c r="A30" s="7">
        <v>2001817093</v>
      </c>
      <c r="B30" s="7">
        <v>1091121485824</v>
      </c>
      <c r="C30" s="6">
        <f>VLOOKUP(A30,'Invoice_Courier Company'!B:E,4,FALSE)</f>
        <v>244001</v>
      </c>
      <c r="D30" s="6" t="str">
        <f>VLOOKUP(A30,'Invoice_Courier Company'!B:G,6,FALSE)</f>
        <v>Forward and RTO charges</v>
      </c>
      <c r="E30" s="6" t="str">
        <f t="shared" si="0"/>
        <v>No</v>
      </c>
      <c r="F30" s="6" t="str">
        <f t="shared" si="1"/>
        <v>Yes</v>
      </c>
      <c r="G30" s="18">
        <f>SUMIFS('Order Report_Company X'!E:E,'Order Report_Company X'!A:A,A30)/1000</f>
        <v>1.357</v>
      </c>
      <c r="H30" s="18">
        <f>SUMIFS('Order Report_Company X'!E:E,'Order Report_Company X'!A:A,'Order Level Calculation_Company'!A30)</f>
        <v>1357</v>
      </c>
      <c r="I30" s="18" cm="1">
        <f t="array" ref="I30">_xlfn.IFS($G30&lt;=0.5,0.5,$G30&lt;=1,1,$G30&lt;=1.5,1.5,$G30&lt;=2,2,$G30&lt;=2.5,2.5,$G30&lt;=3,3,$G30&lt;=3.5,3.5,$G30&lt;=4,4)</f>
        <v>1.5</v>
      </c>
      <c r="J30" s="18" cm="1">
        <f t="array" ref="J30">_xlfn.IFS($H30&lt;=500,0.5,$H30&lt;=1000,1,$H30&lt;=1500,1.5,$H30&lt;=2000,2,$H30&lt;=2500,2.5,$H30&lt;=3000,3,$H30&lt;=3500,3.5,$H30&lt;=4000,4)*1000</f>
        <v>1500</v>
      </c>
      <c r="K30" s="6" t="str">
        <f>UPPER(VLOOKUP(C30,'Zones Pincode_Company X'!B:C,2,FALSE))</f>
        <v>B</v>
      </c>
      <c r="L30" s="18">
        <f>VLOOKUP(K30,'Rates_Courier Company'!$B$7:$C$12,2,0)</f>
        <v>33</v>
      </c>
      <c r="M30" s="18">
        <f>VLOOKUP(K30,'Rates_Courier Company'!$B$15:$C$20,2,FALSE)*(I30/0.5-1)</f>
        <v>56.6</v>
      </c>
      <c r="N30" s="6">
        <f>IF(F30="Yes",VLOOKUP(K30,'Rates_Courier Company'!$F$7:$G$12,2,0),0)</f>
        <v>20.5</v>
      </c>
      <c r="O30" s="6">
        <f>IF(F30="Yes",VLOOKUP(K30,'Rates_Courier Company'!$F$15:$G$20,2,0),0)*(I30/0.5 -1)</f>
        <v>56.6</v>
      </c>
      <c r="P30" s="18">
        <f t="shared" si="2"/>
        <v>166.7</v>
      </c>
      <c r="Q30" s="18">
        <f>VLOOKUP(A30,'Invoice_Courier Company'!B:C,2,0)</f>
        <v>1.3</v>
      </c>
      <c r="R30" s="18">
        <f t="shared" si="3"/>
        <v>1.5</v>
      </c>
      <c r="S30" s="6" t="str">
        <f>UPPER(VLOOKUP(A30,'Invoice_Courier Company'!B:G,5,FALSE))</f>
        <v>B</v>
      </c>
      <c r="T30" s="18">
        <f>VLOOKUP(A30,'Invoice_Courier Company'!B:H,7,0)</f>
        <v>151.1</v>
      </c>
      <c r="U30" s="18">
        <f t="shared" si="4"/>
        <v>15.599999999999994</v>
      </c>
      <c r="V30" s="32">
        <f t="shared" si="5"/>
        <v>9.3581283743251323E-2</v>
      </c>
      <c r="W30" s="18">
        <f t="shared" si="6"/>
        <v>89.6</v>
      </c>
      <c r="X30" s="6">
        <f t="shared" si="7"/>
        <v>77.099999999999994</v>
      </c>
    </row>
    <row r="31" spans="1:24" x14ac:dyDescent="0.3">
      <c r="A31" s="7">
        <v>2001823564</v>
      </c>
      <c r="B31" s="7">
        <v>1091121666133</v>
      </c>
      <c r="C31" s="6">
        <f>VLOOKUP(A31,'Invoice_Courier Company'!B:E,4,FALSE)</f>
        <v>492001</v>
      </c>
      <c r="D31" s="6" t="str">
        <f>VLOOKUP(A31,'Invoice_Courier Company'!B:G,6,FALSE)</f>
        <v>Forward and RTO charges</v>
      </c>
      <c r="E31" s="6" t="str">
        <f t="shared" si="0"/>
        <v>No</v>
      </c>
      <c r="F31" s="6" t="str">
        <f t="shared" si="1"/>
        <v>Yes</v>
      </c>
      <c r="G31" s="18">
        <f>SUMIFS('Order Report_Company X'!E:E,'Order Report_Company X'!A:A,A31)/1000</f>
        <v>0.67200000000000004</v>
      </c>
      <c r="H31" s="18">
        <f>SUMIFS('Order Report_Company X'!E:E,'Order Report_Company X'!A:A,'Order Level Calculation_Company'!A31)</f>
        <v>672</v>
      </c>
      <c r="I31" s="18" cm="1">
        <f t="array" ref="I31">_xlfn.IFS($G31&lt;=0.5,0.5,$G31&lt;=1,1,$G31&lt;=1.5,1.5,$G31&lt;=2,2,$G31&lt;=2.5,2.5,$G31&lt;=3,3,$G31&lt;=3.5,3.5,$G31&lt;=4,4)</f>
        <v>1</v>
      </c>
      <c r="J31" s="18" cm="1">
        <f t="array" ref="J31">_xlfn.IFS($H31&lt;=500,0.5,$H31&lt;=1000,1,$H31&lt;=1500,1.5,$H31&lt;=2000,2,$H31&lt;=2500,2.5,$H31&lt;=3000,3,$H31&lt;=3500,3.5,$H31&lt;=4000,4)*1000</f>
        <v>1000</v>
      </c>
      <c r="K31" s="6" t="str">
        <f>UPPER(VLOOKUP(C31,'Zones Pincode_Company X'!B:C,2,FALSE))</f>
        <v>D</v>
      </c>
      <c r="L31" s="18">
        <f>VLOOKUP(K31,'Rates_Courier Company'!$B$7:$C$12,2,0)</f>
        <v>45.4</v>
      </c>
      <c r="M31" s="18">
        <f>VLOOKUP(K31,'Rates_Courier Company'!$B$15:$C$20,2,FALSE)*(I31/0.5-1)</f>
        <v>44.8</v>
      </c>
      <c r="N31" s="6">
        <f>IF(F31="Yes",VLOOKUP(K31,'Rates_Courier Company'!$F$7:$G$12,2,0),0)</f>
        <v>41.3</v>
      </c>
      <c r="O31" s="6">
        <f>IF(F31="Yes",VLOOKUP(K31,'Rates_Courier Company'!$F$15:$G$20,2,0),0)*(I31/0.5 -1)</f>
        <v>44.8</v>
      </c>
      <c r="P31" s="18">
        <f t="shared" si="2"/>
        <v>176.3</v>
      </c>
      <c r="Q31" s="18">
        <f>VLOOKUP(A31,'Invoice_Courier Company'!B:C,2,0)</f>
        <v>0.7</v>
      </c>
      <c r="R31" s="18">
        <f t="shared" si="3"/>
        <v>1</v>
      </c>
      <c r="S31" s="6" t="str">
        <f>UPPER(VLOOKUP(A31,'Invoice_Courier Company'!B:G,5,FALSE))</f>
        <v>D</v>
      </c>
      <c r="T31" s="18">
        <f>VLOOKUP(A31,'Invoice_Courier Company'!B:H,7,0)</f>
        <v>172.8</v>
      </c>
      <c r="U31" s="18">
        <f t="shared" si="4"/>
        <v>3.5</v>
      </c>
      <c r="V31" s="32">
        <f t="shared" si="5"/>
        <v>1.9852524106636415E-2</v>
      </c>
      <c r="W31" s="18">
        <f t="shared" si="6"/>
        <v>90.199999999999989</v>
      </c>
      <c r="X31" s="6">
        <f t="shared" si="7"/>
        <v>86.1</v>
      </c>
    </row>
    <row r="32" spans="1:24" x14ac:dyDescent="0.3">
      <c r="A32" s="7">
        <v>2001825261</v>
      </c>
      <c r="B32" s="7">
        <v>1091121981575</v>
      </c>
      <c r="C32" s="6">
        <f>VLOOKUP(A32,'Invoice_Courier Company'!B:E,4,FALSE)</f>
        <v>517128</v>
      </c>
      <c r="D32" s="6" t="str">
        <f>VLOOKUP(A32,'Invoice_Courier Company'!B:G,6,FALSE)</f>
        <v>Forward and RTO charges</v>
      </c>
      <c r="E32" s="6" t="str">
        <f t="shared" si="0"/>
        <v>No</v>
      </c>
      <c r="F32" s="6" t="str">
        <f t="shared" si="1"/>
        <v>Yes</v>
      </c>
      <c r="G32" s="18">
        <f>SUMIFS('Order Report_Company X'!E:E,'Order Report_Company X'!A:A,A32)/1000</f>
        <v>1.5569999999999999</v>
      </c>
      <c r="H32" s="18">
        <f>SUMIFS('Order Report_Company X'!E:E,'Order Report_Company X'!A:A,'Order Level Calculation_Company'!A32)</f>
        <v>1557</v>
      </c>
      <c r="I32" s="18" cm="1">
        <f t="array" ref="I32">_xlfn.IFS($G32&lt;=0.5,0.5,$G32&lt;=1,1,$G32&lt;=1.5,1.5,$G32&lt;=2,2,$G32&lt;=2.5,2.5,$G32&lt;=3,3,$G32&lt;=3.5,3.5,$G32&lt;=4,4)</f>
        <v>2</v>
      </c>
      <c r="J32" s="18" cm="1">
        <f t="array" ref="J32">_xlfn.IFS($H32&lt;=500,0.5,$H32&lt;=1000,1,$H32&lt;=1500,1.5,$H32&lt;=2000,2,$H32&lt;=2500,2.5,$H32&lt;=3000,3,$H32&lt;=3500,3.5,$H32&lt;=4000,4)*1000</f>
        <v>2000</v>
      </c>
      <c r="K32" s="6" t="str">
        <f>UPPER(VLOOKUP(C32,'Zones Pincode_Company X'!B:C,2,FALSE))</f>
        <v>D</v>
      </c>
      <c r="L32" s="18">
        <f>VLOOKUP(K32,'Rates_Courier Company'!$B$7:$C$12,2,0)</f>
        <v>45.4</v>
      </c>
      <c r="M32" s="18">
        <f>VLOOKUP(K32,'Rates_Courier Company'!$B$15:$C$20,2,FALSE)*(I32/0.5-1)</f>
        <v>134.39999999999998</v>
      </c>
      <c r="N32" s="6">
        <f>IF(F32="Yes",VLOOKUP(K32,'Rates_Courier Company'!$F$7:$G$12,2,0),0)</f>
        <v>41.3</v>
      </c>
      <c r="O32" s="6">
        <f>IF(F32="Yes",VLOOKUP(K32,'Rates_Courier Company'!$F$15:$G$20,2,0),0)*(I32/0.5 -1)</f>
        <v>134.39999999999998</v>
      </c>
      <c r="P32" s="18">
        <f t="shared" si="2"/>
        <v>355.49999999999994</v>
      </c>
      <c r="Q32" s="18">
        <f>VLOOKUP(A32,'Invoice_Courier Company'!B:C,2,0)</f>
        <v>1.6</v>
      </c>
      <c r="R32" s="18">
        <f t="shared" si="3"/>
        <v>2</v>
      </c>
      <c r="S32" s="6" t="str">
        <f>UPPER(VLOOKUP(A32,'Invoice_Courier Company'!B:G,5,FALSE))</f>
        <v>D</v>
      </c>
      <c r="T32" s="18">
        <f>VLOOKUP(A32,'Invoice_Courier Company'!B:H,7,0)</f>
        <v>345</v>
      </c>
      <c r="U32" s="18">
        <f t="shared" si="4"/>
        <v>10.499999999999943</v>
      </c>
      <c r="V32" s="32">
        <f t="shared" si="5"/>
        <v>2.9535864978902798E-2</v>
      </c>
      <c r="W32" s="18">
        <f t="shared" si="6"/>
        <v>179.79999999999998</v>
      </c>
      <c r="X32" s="6">
        <f t="shared" si="7"/>
        <v>175.7</v>
      </c>
    </row>
    <row r="33" spans="1:24" x14ac:dyDescent="0.3">
      <c r="A33" s="7">
        <v>2001811192</v>
      </c>
      <c r="B33" s="7">
        <v>1091117957780</v>
      </c>
      <c r="C33" s="6">
        <f>VLOOKUP(A33,'Invoice_Courier Company'!B:E,4,FALSE)</f>
        <v>562110</v>
      </c>
      <c r="D33" s="6" t="str">
        <f>VLOOKUP(A33,'Invoice_Courier Company'!B:G,6,FALSE)</f>
        <v>Forward and RTO charges</v>
      </c>
      <c r="E33" s="6" t="str">
        <f t="shared" si="0"/>
        <v>No</v>
      </c>
      <c r="F33" s="6" t="str">
        <f t="shared" si="1"/>
        <v>Yes</v>
      </c>
      <c r="G33" s="18">
        <f>SUMIFS('Order Report_Company X'!E:E,'Order Report_Company X'!A:A,A33)/1000</f>
        <v>1.032</v>
      </c>
      <c r="H33" s="18">
        <f>SUMIFS('Order Report_Company X'!E:E,'Order Report_Company X'!A:A,'Order Level Calculation_Company'!A33)</f>
        <v>1032</v>
      </c>
      <c r="I33" s="18" cm="1">
        <f t="array" ref="I33">_xlfn.IFS($G33&lt;=0.5,0.5,$G33&lt;=1,1,$G33&lt;=1.5,1.5,$G33&lt;=2,2,$G33&lt;=2.5,2.5,$G33&lt;=3,3,$G33&lt;=3.5,3.5,$G33&lt;=4,4)</f>
        <v>1.5</v>
      </c>
      <c r="J33" s="18" cm="1">
        <f t="array" ref="J33">_xlfn.IFS($H33&lt;=500,0.5,$H33&lt;=1000,1,$H33&lt;=1500,1.5,$H33&lt;=2000,2,$H33&lt;=2500,2.5,$H33&lt;=3000,3,$H33&lt;=3500,3.5,$H33&lt;=4000,4)*1000</f>
        <v>1500</v>
      </c>
      <c r="K33" s="6" t="str">
        <f>UPPER(VLOOKUP(C33,'Zones Pincode_Company X'!B:C,2,FALSE))</f>
        <v>D</v>
      </c>
      <c r="L33" s="18">
        <f>VLOOKUP(K33,'Rates_Courier Company'!$B$7:$C$12,2,0)</f>
        <v>45.4</v>
      </c>
      <c r="M33" s="18">
        <f>VLOOKUP(K33,'Rates_Courier Company'!$B$15:$C$20,2,FALSE)*(I33/0.5-1)</f>
        <v>89.6</v>
      </c>
      <c r="N33" s="6">
        <f>IF(F33="Yes",VLOOKUP(K33,'Rates_Courier Company'!$F$7:$G$12,2,0),0)</f>
        <v>41.3</v>
      </c>
      <c r="O33" s="6">
        <f>IF(F33="Yes",VLOOKUP(K33,'Rates_Courier Company'!$F$15:$G$20,2,0),0)*(I33/0.5 -1)</f>
        <v>89.6</v>
      </c>
      <c r="P33" s="18">
        <f t="shared" si="2"/>
        <v>265.89999999999998</v>
      </c>
      <c r="Q33" s="18">
        <f>VLOOKUP(A33,'Invoice_Courier Company'!B:C,2,0)</f>
        <v>1.1299999999999999</v>
      </c>
      <c r="R33" s="18">
        <f t="shared" si="3"/>
        <v>1.5</v>
      </c>
      <c r="S33" s="6" t="str">
        <f>UPPER(VLOOKUP(A33,'Invoice_Courier Company'!B:G,5,FALSE))</f>
        <v>D</v>
      </c>
      <c r="T33" s="18">
        <f>VLOOKUP(A33,'Invoice_Courier Company'!B:H,7,0)</f>
        <v>258.89999999999998</v>
      </c>
      <c r="U33" s="18">
        <f t="shared" si="4"/>
        <v>7</v>
      </c>
      <c r="V33" s="32">
        <f t="shared" si="5"/>
        <v>2.6325686348251224E-2</v>
      </c>
      <c r="W33" s="18">
        <f t="shared" si="6"/>
        <v>135</v>
      </c>
      <c r="X33" s="6">
        <f t="shared" si="7"/>
        <v>130.89999999999998</v>
      </c>
    </row>
    <row r="34" spans="1:24" x14ac:dyDescent="0.3">
      <c r="A34" s="7">
        <v>2001809917</v>
      </c>
      <c r="B34" s="7">
        <v>1091121482593</v>
      </c>
      <c r="C34" s="6">
        <f>VLOOKUP(A34,'Invoice_Courier Company'!B:E,4,FALSE)</f>
        <v>831006</v>
      </c>
      <c r="D34" s="6" t="str">
        <f>VLOOKUP(A34,'Invoice_Courier Company'!B:G,6,FALSE)</f>
        <v>Forward and RTO charges</v>
      </c>
      <c r="E34" s="6" t="str">
        <f t="shared" si="0"/>
        <v>No</v>
      </c>
      <c r="F34" s="6" t="str">
        <f t="shared" si="1"/>
        <v>Yes</v>
      </c>
      <c r="G34" s="18">
        <f>SUMIFS('Order Report_Company X'!E:E,'Order Report_Company X'!A:A,A34)/1000</f>
        <v>0.63</v>
      </c>
      <c r="H34" s="18">
        <f>SUMIFS('Order Report_Company X'!E:E,'Order Report_Company X'!A:A,'Order Level Calculation_Company'!A34)</f>
        <v>630</v>
      </c>
      <c r="I34" s="18" cm="1">
        <f t="array" ref="I34">_xlfn.IFS($G34&lt;=0.5,0.5,$G34&lt;=1,1,$G34&lt;=1.5,1.5,$G34&lt;=2,2,$G34&lt;=2.5,2.5,$G34&lt;=3,3,$G34&lt;=3.5,3.5,$G34&lt;=4,4)</f>
        <v>1</v>
      </c>
      <c r="J34" s="18" cm="1">
        <f t="array" ref="J34">_xlfn.IFS($H34&lt;=500,0.5,$H34&lt;=1000,1,$H34&lt;=1500,1.5,$H34&lt;=2000,2,$H34&lt;=2500,2.5,$H34&lt;=3000,3,$H34&lt;=3500,3.5,$H34&lt;=4000,4)*1000</f>
        <v>1000</v>
      </c>
      <c r="K34" s="6" t="str">
        <f>UPPER(VLOOKUP(C34,'Zones Pincode_Company X'!B:C,2,FALSE))</f>
        <v>D</v>
      </c>
      <c r="L34" s="18">
        <f>VLOOKUP(K34,'Rates_Courier Company'!$B$7:$C$12,2,0)</f>
        <v>45.4</v>
      </c>
      <c r="M34" s="18">
        <f>VLOOKUP(K34,'Rates_Courier Company'!$B$15:$C$20,2,FALSE)*(I34/0.5-1)</f>
        <v>44.8</v>
      </c>
      <c r="N34" s="6">
        <f>IF(F34="Yes",VLOOKUP(K34,'Rates_Courier Company'!$F$7:$G$12,2,0),0)</f>
        <v>41.3</v>
      </c>
      <c r="O34" s="6">
        <f>IF(F34="Yes",VLOOKUP(K34,'Rates_Courier Company'!$F$15:$G$20,2,0),0)*(I34/0.5 -1)</f>
        <v>44.8</v>
      </c>
      <c r="P34" s="18">
        <f t="shared" si="2"/>
        <v>176.3</v>
      </c>
      <c r="Q34" s="18">
        <f>VLOOKUP(A34,'Invoice_Courier Company'!B:C,2,0)</f>
        <v>0.6</v>
      </c>
      <c r="R34" s="18">
        <f t="shared" si="3"/>
        <v>1</v>
      </c>
      <c r="S34" s="6" t="str">
        <f>UPPER(VLOOKUP(A34,'Invoice_Courier Company'!B:G,5,FALSE))</f>
        <v>D</v>
      </c>
      <c r="T34" s="18">
        <f>VLOOKUP(A34,'Invoice_Courier Company'!B:H,7,0)</f>
        <v>172.8</v>
      </c>
      <c r="U34" s="18">
        <f t="shared" si="4"/>
        <v>3.5</v>
      </c>
      <c r="V34" s="32">
        <f t="shared" si="5"/>
        <v>1.9852524106636415E-2</v>
      </c>
      <c r="W34" s="18">
        <f t="shared" si="6"/>
        <v>90.199999999999989</v>
      </c>
      <c r="X34" s="6">
        <f t="shared" si="7"/>
        <v>86.1</v>
      </c>
    </row>
    <row r="35" spans="1:24" x14ac:dyDescent="0.3">
      <c r="A35" s="7">
        <v>2001806210</v>
      </c>
      <c r="B35" s="7">
        <v>1091117221940</v>
      </c>
      <c r="C35" s="6">
        <f>VLOOKUP(A35,'Invoice_Courier Company'!B:E,4,FALSE)</f>
        <v>140604</v>
      </c>
      <c r="D35" s="6" t="str">
        <f>VLOOKUP(A35,'Invoice_Courier Company'!B:G,6,FALSE)</f>
        <v>Forward charges</v>
      </c>
      <c r="E35" s="6" t="str">
        <f t="shared" si="0"/>
        <v>Yes</v>
      </c>
      <c r="F35" s="6" t="str">
        <f t="shared" si="1"/>
        <v>No</v>
      </c>
      <c r="G35" s="18">
        <f>SUMIFS('Order Report_Company X'!E:E,'Order Report_Company X'!A:A,A35)/1000</f>
        <v>0.22</v>
      </c>
      <c r="H35" s="18">
        <f>SUMIFS('Order Report_Company X'!E:E,'Order Report_Company X'!A:A,'Order Level Calculation_Company'!A35)</f>
        <v>220</v>
      </c>
      <c r="I35" s="18" cm="1">
        <f t="array" ref="I35">_xlfn.IFS($G35&lt;=0.5,0.5,$G35&lt;=1,1,$G35&lt;=1.5,1.5,$G35&lt;=2,2,$G35&lt;=2.5,2.5,$G35&lt;=3,3,$G35&lt;=3.5,3.5,$G35&lt;=4,4)</f>
        <v>0.5</v>
      </c>
      <c r="J35" s="18" cm="1">
        <f t="array" ref="J35">_xlfn.IFS($H35&lt;=500,0.5,$H35&lt;=1000,1,$H35&lt;=1500,1.5,$H35&lt;=2000,2,$H35&lt;=2500,2.5,$H35&lt;=3000,3,$H35&lt;=3500,3.5,$H35&lt;=4000,4)*1000</f>
        <v>500</v>
      </c>
      <c r="K35" s="6" t="str">
        <f>UPPER(VLOOKUP(C35,'Zones Pincode_Company X'!B:C,2,FALSE))</f>
        <v>B</v>
      </c>
      <c r="L35" s="18">
        <f>VLOOKUP(K35,'Rates_Courier Company'!$B$7:$C$12,2,0)</f>
        <v>33</v>
      </c>
      <c r="M35" s="18">
        <f>VLOOKUP(K35,'Rates_Courier Company'!$B$15:$C$20,2,FALSE)*(I35/0.5-1)</f>
        <v>0</v>
      </c>
      <c r="N35" s="6">
        <f>IF(F35="Yes",VLOOKUP(K35,'Rates_Courier Company'!$F$7:$G$12,2,0),0)</f>
        <v>0</v>
      </c>
      <c r="O35" s="6">
        <f>IF(F35="Yes",VLOOKUP(K35,'Rates_Courier Company'!$F$15:$G$20,2,0),0)*(I35/0.5 -1)</f>
        <v>0</v>
      </c>
      <c r="P35" s="18">
        <f t="shared" si="2"/>
        <v>33</v>
      </c>
      <c r="Q35" s="18">
        <f>VLOOKUP(A35,'Invoice_Courier Company'!B:C,2,0)</f>
        <v>2.92</v>
      </c>
      <c r="R35" s="18">
        <f t="shared" si="3"/>
        <v>3</v>
      </c>
      <c r="S35" s="6" t="str">
        <f>UPPER(VLOOKUP(A35,'Invoice_Courier Company'!B:G,5,FALSE))</f>
        <v>B</v>
      </c>
      <c r="T35" s="18">
        <f>VLOOKUP(A35,'Invoice_Courier Company'!B:H,7,0)</f>
        <v>174.5</v>
      </c>
      <c r="U35" s="18">
        <f t="shared" si="4"/>
        <v>-141.5</v>
      </c>
      <c r="V35" s="32">
        <f t="shared" si="5"/>
        <v>-4.2878787878787881</v>
      </c>
      <c r="W35" s="18">
        <f t="shared" si="6"/>
        <v>33</v>
      </c>
      <c r="X35" s="6">
        <f t="shared" si="7"/>
        <v>0</v>
      </c>
    </row>
    <row r="36" spans="1:24" x14ac:dyDescent="0.3">
      <c r="A36" s="7">
        <v>2001806226</v>
      </c>
      <c r="B36" s="7">
        <v>1091117222065</v>
      </c>
      <c r="C36" s="6">
        <f>VLOOKUP(A36,'Invoice_Courier Company'!B:E,4,FALSE)</f>
        <v>723146</v>
      </c>
      <c r="D36" s="6" t="str">
        <f>VLOOKUP(A36,'Invoice_Courier Company'!B:G,6,FALSE)</f>
        <v>Forward charges</v>
      </c>
      <c r="E36" s="6" t="str">
        <f t="shared" si="0"/>
        <v>Yes</v>
      </c>
      <c r="F36" s="6" t="str">
        <f t="shared" si="1"/>
        <v>No</v>
      </c>
      <c r="G36" s="18">
        <f>SUMIFS('Order Report_Company X'!E:E,'Order Report_Company X'!A:A,A36)/1000</f>
        <v>0.48</v>
      </c>
      <c r="H36" s="18">
        <f>SUMIFS('Order Report_Company X'!E:E,'Order Report_Company X'!A:A,'Order Level Calculation_Company'!A36)</f>
        <v>480</v>
      </c>
      <c r="I36" s="18" cm="1">
        <f t="array" ref="I36">_xlfn.IFS($G36&lt;=0.5,0.5,$G36&lt;=1,1,$G36&lt;=1.5,1.5,$G36&lt;=2,2,$G36&lt;=2.5,2.5,$G36&lt;=3,3,$G36&lt;=3.5,3.5,$G36&lt;=4,4)</f>
        <v>0.5</v>
      </c>
      <c r="J36" s="18" cm="1">
        <f t="array" ref="J36">_xlfn.IFS($H36&lt;=500,0.5,$H36&lt;=1000,1,$H36&lt;=1500,1.5,$H36&lt;=2000,2,$H36&lt;=2500,2.5,$H36&lt;=3000,3,$H36&lt;=3500,3.5,$H36&lt;=4000,4)*1000</f>
        <v>500</v>
      </c>
      <c r="K36" s="6" t="str">
        <f>UPPER(VLOOKUP(C36,'Zones Pincode_Company X'!B:C,2,FALSE))</f>
        <v>D</v>
      </c>
      <c r="L36" s="18">
        <f>VLOOKUP(K36,'Rates_Courier Company'!$B$7:$C$12,2,0)</f>
        <v>45.4</v>
      </c>
      <c r="M36" s="18">
        <f>VLOOKUP(K36,'Rates_Courier Company'!$B$15:$C$20,2,FALSE)*(I36/0.5-1)</f>
        <v>0</v>
      </c>
      <c r="N36" s="6">
        <f>IF(F36="Yes",VLOOKUP(K36,'Rates_Courier Company'!$F$7:$G$12,2,0),0)</f>
        <v>0</v>
      </c>
      <c r="O36" s="6">
        <f>IF(F36="Yes",VLOOKUP(K36,'Rates_Courier Company'!$F$15:$G$20,2,0),0)*(I36/0.5 -1)</f>
        <v>0</v>
      </c>
      <c r="P36" s="18">
        <f t="shared" si="2"/>
        <v>45.4</v>
      </c>
      <c r="Q36" s="18">
        <f>VLOOKUP(A36,'Invoice_Courier Company'!B:C,2,0)</f>
        <v>0.68</v>
      </c>
      <c r="R36" s="18">
        <f t="shared" si="3"/>
        <v>1</v>
      </c>
      <c r="S36" s="6" t="str">
        <f>UPPER(VLOOKUP(A36,'Invoice_Courier Company'!B:G,5,FALSE))</f>
        <v>D</v>
      </c>
      <c r="T36" s="18">
        <f>VLOOKUP(A36,'Invoice_Courier Company'!B:H,7,0)</f>
        <v>90.2</v>
      </c>
      <c r="U36" s="18">
        <f t="shared" si="4"/>
        <v>-44.800000000000004</v>
      </c>
      <c r="V36" s="32">
        <f t="shared" si="5"/>
        <v>-0.98678414096916311</v>
      </c>
      <c r="W36" s="18">
        <f t="shared" si="6"/>
        <v>45.4</v>
      </c>
      <c r="X36" s="6">
        <f t="shared" si="7"/>
        <v>0</v>
      </c>
    </row>
    <row r="37" spans="1:24" x14ac:dyDescent="0.3">
      <c r="A37" s="7">
        <v>2001806229</v>
      </c>
      <c r="B37" s="7">
        <v>1091117222080</v>
      </c>
      <c r="C37" s="6">
        <f>VLOOKUP(A37,'Invoice_Courier Company'!B:E,4,FALSE)</f>
        <v>421204</v>
      </c>
      <c r="D37" s="6" t="str">
        <f>VLOOKUP(A37,'Invoice_Courier Company'!B:G,6,FALSE)</f>
        <v>Forward charges</v>
      </c>
      <c r="E37" s="6" t="str">
        <f t="shared" si="0"/>
        <v>Yes</v>
      </c>
      <c r="F37" s="6" t="str">
        <f t="shared" si="1"/>
        <v>No</v>
      </c>
      <c r="G37" s="18">
        <f>SUMIFS('Order Report_Company X'!E:E,'Order Report_Company X'!A:A,A37)/1000</f>
        <v>0.5</v>
      </c>
      <c r="H37" s="18">
        <f>SUMIFS('Order Report_Company X'!E:E,'Order Report_Company X'!A:A,'Order Level Calculation_Company'!A37)</f>
        <v>500</v>
      </c>
      <c r="I37" s="18" cm="1">
        <f t="array" ref="I37">_xlfn.IFS($G37&lt;=0.5,0.5,$G37&lt;=1,1,$G37&lt;=1.5,1.5,$G37&lt;=2,2,$G37&lt;=2.5,2.5,$G37&lt;=3,3,$G37&lt;=3.5,3.5,$G37&lt;=4,4)</f>
        <v>0.5</v>
      </c>
      <c r="J37" s="18" cm="1">
        <f t="array" ref="J37">_xlfn.IFS($H37&lt;=500,0.5,$H37&lt;=1000,1,$H37&lt;=1500,1.5,$H37&lt;=2000,2,$H37&lt;=2500,2.5,$H37&lt;=3000,3,$H37&lt;=3500,3.5,$H37&lt;=4000,4)*1000</f>
        <v>500</v>
      </c>
      <c r="K37" s="6" t="str">
        <f>UPPER(VLOOKUP(C37,'Zones Pincode_Company X'!B:C,2,FALSE))</f>
        <v>D</v>
      </c>
      <c r="L37" s="18">
        <f>VLOOKUP(K37,'Rates_Courier Company'!$B$7:$C$12,2,0)</f>
        <v>45.4</v>
      </c>
      <c r="M37" s="18">
        <f>VLOOKUP(K37,'Rates_Courier Company'!$B$15:$C$20,2,FALSE)*(I37/0.5-1)</f>
        <v>0</v>
      </c>
      <c r="N37" s="6">
        <f>IF(F37="Yes",VLOOKUP(K37,'Rates_Courier Company'!$F$7:$G$12,2,0),0)</f>
        <v>0</v>
      </c>
      <c r="O37" s="6">
        <f>IF(F37="Yes",VLOOKUP(K37,'Rates_Courier Company'!$F$15:$G$20,2,0),0)*(I37/0.5 -1)</f>
        <v>0</v>
      </c>
      <c r="P37" s="18">
        <f t="shared" si="2"/>
        <v>45.4</v>
      </c>
      <c r="Q37" s="18">
        <f>VLOOKUP(A37,'Invoice_Courier Company'!B:C,2,0)</f>
        <v>0.71</v>
      </c>
      <c r="R37" s="18">
        <f t="shared" si="3"/>
        <v>1</v>
      </c>
      <c r="S37" s="6" t="str">
        <f>UPPER(VLOOKUP(A37,'Invoice_Courier Company'!B:G,5,FALSE))</f>
        <v>D</v>
      </c>
      <c r="T37" s="18">
        <f>VLOOKUP(A37,'Invoice_Courier Company'!B:H,7,0)</f>
        <v>90.2</v>
      </c>
      <c r="U37" s="18">
        <f t="shared" si="4"/>
        <v>-44.800000000000004</v>
      </c>
      <c r="V37" s="32">
        <f t="shared" si="5"/>
        <v>-0.98678414096916311</v>
      </c>
      <c r="W37" s="18">
        <f t="shared" si="6"/>
        <v>45.4</v>
      </c>
      <c r="X37" s="6">
        <f t="shared" si="7"/>
        <v>0</v>
      </c>
    </row>
    <row r="38" spans="1:24" x14ac:dyDescent="0.3">
      <c r="A38" s="7">
        <v>2001806233</v>
      </c>
      <c r="B38" s="7">
        <v>1091117222135</v>
      </c>
      <c r="C38" s="6">
        <f>VLOOKUP(A38,'Invoice_Courier Company'!B:E,4,FALSE)</f>
        <v>263139</v>
      </c>
      <c r="D38" s="6" t="str">
        <f>VLOOKUP(A38,'Invoice_Courier Company'!B:G,6,FALSE)</f>
        <v>Forward charges</v>
      </c>
      <c r="E38" s="6" t="str">
        <f t="shared" si="0"/>
        <v>Yes</v>
      </c>
      <c r="F38" s="6" t="str">
        <f t="shared" si="1"/>
        <v>No</v>
      </c>
      <c r="G38" s="18">
        <f>SUMIFS('Order Report_Company X'!E:E,'Order Report_Company X'!A:A,A38)/1000</f>
        <v>0.245</v>
      </c>
      <c r="H38" s="18">
        <f>SUMIFS('Order Report_Company X'!E:E,'Order Report_Company X'!A:A,'Order Level Calculation_Company'!A38)</f>
        <v>245</v>
      </c>
      <c r="I38" s="18" cm="1">
        <f t="array" ref="I38">_xlfn.IFS($G38&lt;=0.5,0.5,$G38&lt;=1,1,$G38&lt;=1.5,1.5,$G38&lt;=2,2,$G38&lt;=2.5,2.5,$G38&lt;=3,3,$G38&lt;=3.5,3.5,$G38&lt;=4,4)</f>
        <v>0.5</v>
      </c>
      <c r="J38" s="18" cm="1">
        <f t="array" ref="J38">_xlfn.IFS($H38&lt;=500,0.5,$H38&lt;=1000,1,$H38&lt;=1500,1.5,$H38&lt;=2000,2,$H38&lt;=2500,2.5,$H38&lt;=3000,3,$H38&lt;=3500,3.5,$H38&lt;=4000,4)*1000</f>
        <v>500</v>
      </c>
      <c r="K38" s="6" t="str">
        <f>UPPER(VLOOKUP(C38,'Zones Pincode_Company X'!B:C,2,FALSE))</f>
        <v>B</v>
      </c>
      <c r="L38" s="18">
        <f>VLOOKUP(K38,'Rates_Courier Company'!$B$7:$C$12,2,0)</f>
        <v>33</v>
      </c>
      <c r="M38" s="18">
        <f>VLOOKUP(K38,'Rates_Courier Company'!$B$15:$C$20,2,FALSE)*(I38/0.5-1)</f>
        <v>0</v>
      </c>
      <c r="N38" s="6">
        <f>IF(F38="Yes",VLOOKUP(K38,'Rates_Courier Company'!$F$7:$G$12,2,0),0)</f>
        <v>0</v>
      </c>
      <c r="O38" s="6">
        <f>IF(F38="Yes",VLOOKUP(K38,'Rates_Courier Company'!$F$15:$G$20,2,0),0)*(I38/0.5 -1)</f>
        <v>0</v>
      </c>
      <c r="P38" s="18">
        <f t="shared" si="2"/>
        <v>33</v>
      </c>
      <c r="Q38" s="18">
        <f>VLOOKUP(A38,'Invoice_Courier Company'!B:C,2,0)</f>
        <v>0.78</v>
      </c>
      <c r="R38" s="18">
        <f t="shared" si="3"/>
        <v>1</v>
      </c>
      <c r="S38" s="6" t="str">
        <f>UPPER(VLOOKUP(A38,'Invoice_Courier Company'!B:G,5,FALSE))</f>
        <v>B</v>
      </c>
      <c r="T38" s="18">
        <f>VLOOKUP(A38,'Invoice_Courier Company'!B:H,7,0)</f>
        <v>61.3</v>
      </c>
      <c r="U38" s="18">
        <f t="shared" si="4"/>
        <v>-28.299999999999997</v>
      </c>
      <c r="V38" s="32">
        <f t="shared" si="5"/>
        <v>-0.85757575757575744</v>
      </c>
      <c r="W38" s="18">
        <f t="shared" si="6"/>
        <v>33</v>
      </c>
      <c r="X38" s="6">
        <f t="shared" si="7"/>
        <v>0</v>
      </c>
    </row>
    <row r="39" spans="1:24" x14ac:dyDescent="0.3">
      <c r="A39" s="7">
        <v>2001806251</v>
      </c>
      <c r="B39" s="7">
        <v>1091117222146</v>
      </c>
      <c r="C39" s="6">
        <f>VLOOKUP(A39,'Invoice_Courier Company'!B:E,4,FALSE)</f>
        <v>743263</v>
      </c>
      <c r="D39" s="6" t="str">
        <f>VLOOKUP(A39,'Invoice_Courier Company'!B:G,6,FALSE)</f>
        <v>Forward charges</v>
      </c>
      <c r="E39" s="6" t="str">
        <f t="shared" si="0"/>
        <v>Yes</v>
      </c>
      <c r="F39" s="6" t="str">
        <f t="shared" si="1"/>
        <v>No</v>
      </c>
      <c r="G39" s="18">
        <f>SUMIFS('Order Report_Company X'!E:E,'Order Report_Company X'!A:A,A39)/1000</f>
        <v>0.245</v>
      </c>
      <c r="H39" s="18">
        <f>SUMIFS('Order Report_Company X'!E:E,'Order Report_Company X'!A:A,'Order Level Calculation_Company'!A39)</f>
        <v>245</v>
      </c>
      <c r="I39" s="18" cm="1">
        <f t="array" ref="I39">_xlfn.IFS($G39&lt;=0.5,0.5,$G39&lt;=1,1,$G39&lt;=1.5,1.5,$G39&lt;=2,2,$G39&lt;=2.5,2.5,$G39&lt;=3,3,$G39&lt;=3.5,3.5,$G39&lt;=4,4)</f>
        <v>0.5</v>
      </c>
      <c r="J39" s="18" cm="1">
        <f t="array" ref="J39">_xlfn.IFS($H39&lt;=500,0.5,$H39&lt;=1000,1,$H39&lt;=1500,1.5,$H39&lt;=2000,2,$H39&lt;=2500,2.5,$H39&lt;=3000,3,$H39&lt;=3500,3.5,$H39&lt;=4000,4)*1000</f>
        <v>500</v>
      </c>
      <c r="K39" s="6" t="str">
        <f>UPPER(VLOOKUP(C39,'Zones Pincode_Company X'!B:C,2,FALSE))</f>
        <v>D</v>
      </c>
      <c r="L39" s="18">
        <f>VLOOKUP(K39,'Rates_Courier Company'!$B$7:$C$12,2,0)</f>
        <v>45.4</v>
      </c>
      <c r="M39" s="18">
        <f>VLOOKUP(K39,'Rates_Courier Company'!$B$15:$C$20,2,FALSE)*(I39/0.5-1)</f>
        <v>0</v>
      </c>
      <c r="N39" s="6">
        <f>IF(F39="Yes",VLOOKUP(K39,'Rates_Courier Company'!$F$7:$G$12,2,0),0)</f>
        <v>0</v>
      </c>
      <c r="O39" s="6">
        <f>IF(F39="Yes",VLOOKUP(K39,'Rates_Courier Company'!$F$15:$G$20,2,0),0)*(I39/0.5 -1)</f>
        <v>0</v>
      </c>
      <c r="P39" s="18">
        <f t="shared" si="2"/>
        <v>45.4</v>
      </c>
      <c r="Q39" s="18">
        <f>VLOOKUP(A39,'Invoice_Courier Company'!B:C,2,0)</f>
        <v>1.27</v>
      </c>
      <c r="R39" s="18">
        <f t="shared" si="3"/>
        <v>1.5</v>
      </c>
      <c r="S39" s="6" t="str">
        <f>UPPER(VLOOKUP(A39,'Invoice_Courier Company'!B:G,5,FALSE))</f>
        <v>D</v>
      </c>
      <c r="T39" s="18">
        <f>VLOOKUP(A39,'Invoice_Courier Company'!B:H,7,0)</f>
        <v>135</v>
      </c>
      <c r="U39" s="18">
        <f t="shared" si="4"/>
        <v>-89.6</v>
      </c>
      <c r="V39" s="32">
        <f t="shared" si="5"/>
        <v>-1.973568281938326</v>
      </c>
      <c r="W39" s="18">
        <f t="shared" si="6"/>
        <v>45.4</v>
      </c>
      <c r="X39" s="6">
        <f t="shared" si="7"/>
        <v>0</v>
      </c>
    </row>
    <row r="40" spans="1:24" x14ac:dyDescent="0.3">
      <c r="A40" s="7">
        <v>2001806338</v>
      </c>
      <c r="B40" s="7">
        <v>1091117222570</v>
      </c>
      <c r="C40" s="6">
        <f>VLOOKUP(A40,'Invoice_Courier Company'!B:E,4,FALSE)</f>
        <v>392150</v>
      </c>
      <c r="D40" s="6" t="str">
        <f>VLOOKUP(A40,'Invoice_Courier Company'!B:G,6,FALSE)</f>
        <v>Forward charges</v>
      </c>
      <c r="E40" s="6" t="str">
        <f t="shared" si="0"/>
        <v>Yes</v>
      </c>
      <c r="F40" s="6" t="str">
        <f t="shared" si="1"/>
        <v>No</v>
      </c>
      <c r="G40" s="18">
        <f>SUMIFS('Order Report_Company X'!E:E,'Order Report_Company X'!A:A,A40)/1000</f>
        <v>0.5</v>
      </c>
      <c r="H40" s="18">
        <f>SUMIFS('Order Report_Company X'!E:E,'Order Report_Company X'!A:A,'Order Level Calculation_Company'!A40)</f>
        <v>500</v>
      </c>
      <c r="I40" s="18" cm="1">
        <f t="array" ref="I40">_xlfn.IFS($G40&lt;=0.5,0.5,$G40&lt;=1,1,$G40&lt;=1.5,1.5,$G40&lt;=2,2,$G40&lt;=2.5,2.5,$G40&lt;=3,3,$G40&lt;=3.5,3.5,$G40&lt;=4,4)</f>
        <v>0.5</v>
      </c>
      <c r="J40" s="18" cm="1">
        <f t="array" ref="J40">_xlfn.IFS($H40&lt;=500,0.5,$H40&lt;=1000,1,$H40&lt;=1500,1.5,$H40&lt;=2000,2,$H40&lt;=2500,2.5,$H40&lt;=3000,3,$H40&lt;=3500,3.5,$H40&lt;=4000,4)*1000</f>
        <v>500</v>
      </c>
      <c r="K40" s="6" t="str">
        <f>UPPER(VLOOKUP(C40,'Zones Pincode_Company X'!B:C,2,FALSE))</f>
        <v>D</v>
      </c>
      <c r="L40" s="18">
        <f>VLOOKUP(K40,'Rates_Courier Company'!$B$7:$C$12,2,0)</f>
        <v>45.4</v>
      </c>
      <c r="M40" s="18">
        <f>VLOOKUP(K40,'Rates_Courier Company'!$B$15:$C$20,2,FALSE)*(I40/0.5-1)</f>
        <v>0</v>
      </c>
      <c r="N40" s="6">
        <f>IF(F40="Yes",VLOOKUP(K40,'Rates_Courier Company'!$F$7:$G$12,2,0),0)</f>
        <v>0</v>
      </c>
      <c r="O40" s="6">
        <f>IF(F40="Yes",VLOOKUP(K40,'Rates_Courier Company'!$F$15:$G$20,2,0),0)*(I40/0.5 -1)</f>
        <v>0</v>
      </c>
      <c r="P40" s="18">
        <f t="shared" si="2"/>
        <v>45.4</v>
      </c>
      <c r="Q40" s="18">
        <f>VLOOKUP(A40,'Invoice_Courier Company'!B:C,2,0)</f>
        <v>0.7</v>
      </c>
      <c r="R40" s="18">
        <f t="shared" si="3"/>
        <v>1</v>
      </c>
      <c r="S40" s="6" t="str">
        <f>UPPER(VLOOKUP(A40,'Invoice_Courier Company'!B:G,5,FALSE))</f>
        <v>D</v>
      </c>
      <c r="T40" s="18">
        <f>VLOOKUP(A40,'Invoice_Courier Company'!B:H,7,0)</f>
        <v>90.2</v>
      </c>
      <c r="U40" s="18">
        <f t="shared" si="4"/>
        <v>-44.800000000000004</v>
      </c>
      <c r="V40" s="32">
        <f t="shared" si="5"/>
        <v>-0.98678414096916311</v>
      </c>
      <c r="W40" s="18">
        <f t="shared" si="6"/>
        <v>45.4</v>
      </c>
      <c r="X40" s="6">
        <f t="shared" si="7"/>
        <v>0</v>
      </c>
    </row>
    <row r="41" spans="1:24" x14ac:dyDescent="0.3">
      <c r="A41" s="7">
        <v>2001806446</v>
      </c>
      <c r="B41" s="7">
        <v>1091117223211</v>
      </c>
      <c r="C41" s="6">
        <f>VLOOKUP(A41,'Invoice_Courier Company'!B:E,4,FALSE)</f>
        <v>382830</v>
      </c>
      <c r="D41" s="6" t="str">
        <f>VLOOKUP(A41,'Invoice_Courier Company'!B:G,6,FALSE)</f>
        <v>Forward charges</v>
      </c>
      <c r="E41" s="6" t="str">
        <f t="shared" si="0"/>
        <v>Yes</v>
      </c>
      <c r="F41" s="6" t="str">
        <f t="shared" si="1"/>
        <v>No</v>
      </c>
      <c r="G41" s="18">
        <f>SUMIFS('Order Report_Company X'!E:E,'Order Report_Company X'!A:A,A41)/1000</f>
        <v>0.5</v>
      </c>
      <c r="H41" s="18">
        <f>SUMIFS('Order Report_Company X'!E:E,'Order Report_Company X'!A:A,'Order Level Calculation_Company'!A41)</f>
        <v>500</v>
      </c>
      <c r="I41" s="18" cm="1">
        <f t="array" ref="I41">_xlfn.IFS($G41&lt;=0.5,0.5,$G41&lt;=1,1,$G41&lt;=1.5,1.5,$G41&lt;=2,2,$G41&lt;=2.5,2.5,$G41&lt;=3,3,$G41&lt;=3.5,3.5,$G41&lt;=4,4)</f>
        <v>0.5</v>
      </c>
      <c r="J41" s="18" cm="1">
        <f t="array" ref="J41">_xlfn.IFS($H41&lt;=500,0.5,$H41&lt;=1000,1,$H41&lt;=1500,1.5,$H41&lt;=2000,2,$H41&lt;=2500,2.5,$H41&lt;=3000,3,$H41&lt;=3500,3.5,$H41&lt;=4000,4)*1000</f>
        <v>500</v>
      </c>
      <c r="K41" s="6" t="str">
        <f>UPPER(VLOOKUP(C41,'Zones Pincode_Company X'!B:C,2,FALSE))</f>
        <v>D</v>
      </c>
      <c r="L41" s="18">
        <f>VLOOKUP(K41,'Rates_Courier Company'!$B$7:$C$12,2,0)</f>
        <v>45.4</v>
      </c>
      <c r="M41" s="18">
        <f>VLOOKUP(K41,'Rates_Courier Company'!$B$15:$C$20,2,FALSE)*(I41/0.5-1)</f>
        <v>0</v>
      </c>
      <c r="N41" s="6">
        <f>IF(F41="Yes",VLOOKUP(K41,'Rates_Courier Company'!$F$7:$G$12,2,0),0)</f>
        <v>0</v>
      </c>
      <c r="O41" s="6">
        <f>IF(F41="Yes",VLOOKUP(K41,'Rates_Courier Company'!$F$15:$G$20,2,0),0)*(I41/0.5 -1)</f>
        <v>0</v>
      </c>
      <c r="P41" s="18">
        <f t="shared" si="2"/>
        <v>45.4</v>
      </c>
      <c r="Q41" s="18">
        <f>VLOOKUP(A41,'Invoice_Courier Company'!B:C,2,0)</f>
        <v>0.69</v>
      </c>
      <c r="R41" s="18">
        <f t="shared" si="3"/>
        <v>1</v>
      </c>
      <c r="S41" s="6" t="str">
        <f>UPPER(VLOOKUP(A41,'Invoice_Courier Company'!B:G,5,FALSE))</f>
        <v>D</v>
      </c>
      <c r="T41" s="18">
        <f>VLOOKUP(A41,'Invoice_Courier Company'!B:H,7,0)</f>
        <v>90.2</v>
      </c>
      <c r="U41" s="18">
        <f t="shared" si="4"/>
        <v>-44.800000000000004</v>
      </c>
      <c r="V41" s="32">
        <f t="shared" si="5"/>
        <v>-0.98678414096916311</v>
      </c>
      <c r="W41" s="18">
        <f t="shared" si="6"/>
        <v>45.4</v>
      </c>
      <c r="X41" s="6">
        <f t="shared" si="7"/>
        <v>0</v>
      </c>
    </row>
    <row r="42" spans="1:24" x14ac:dyDescent="0.3">
      <c r="A42" s="7">
        <v>2001806533</v>
      </c>
      <c r="B42" s="7">
        <v>1091117224353</v>
      </c>
      <c r="C42" s="6">
        <f>VLOOKUP(A42,'Invoice_Courier Company'!B:E,4,FALSE)</f>
        <v>711303</v>
      </c>
      <c r="D42" s="6" t="str">
        <f>VLOOKUP(A42,'Invoice_Courier Company'!B:G,6,FALSE)</f>
        <v>Forward charges</v>
      </c>
      <c r="E42" s="6" t="str">
        <f t="shared" si="0"/>
        <v>Yes</v>
      </c>
      <c r="F42" s="6" t="str">
        <f t="shared" si="1"/>
        <v>No</v>
      </c>
      <c r="G42" s="18">
        <f>SUMIFS('Order Report_Company X'!E:E,'Order Report_Company X'!A:A,A42)/1000</f>
        <v>0.5</v>
      </c>
      <c r="H42" s="18">
        <f>SUMIFS('Order Report_Company X'!E:E,'Order Report_Company X'!A:A,'Order Level Calculation_Company'!A42)</f>
        <v>500</v>
      </c>
      <c r="I42" s="18" cm="1">
        <f t="array" ref="I42">_xlfn.IFS($G42&lt;=0.5,0.5,$G42&lt;=1,1,$G42&lt;=1.5,1.5,$G42&lt;=2,2,$G42&lt;=2.5,2.5,$G42&lt;=3,3,$G42&lt;=3.5,3.5,$G42&lt;=4,4)</f>
        <v>0.5</v>
      </c>
      <c r="J42" s="18" cm="1">
        <f t="array" ref="J42">_xlfn.IFS($H42&lt;=500,0.5,$H42&lt;=1000,1,$H42&lt;=1500,1.5,$H42&lt;=2000,2,$H42&lt;=2500,2.5,$H42&lt;=3000,3,$H42&lt;=3500,3.5,$H42&lt;=4000,4)*1000</f>
        <v>500</v>
      </c>
      <c r="K42" s="6" t="str">
        <f>UPPER(VLOOKUP(C42,'Zones Pincode_Company X'!B:C,2,FALSE))</f>
        <v>D</v>
      </c>
      <c r="L42" s="18">
        <f>VLOOKUP(K42,'Rates_Courier Company'!$B$7:$C$12,2,0)</f>
        <v>45.4</v>
      </c>
      <c r="M42" s="18">
        <f>VLOOKUP(K42,'Rates_Courier Company'!$B$15:$C$20,2,FALSE)*(I42/0.5-1)</f>
        <v>0</v>
      </c>
      <c r="N42" s="6">
        <f>IF(F42="Yes",VLOOKUP(K42,'Rates_Courier Company'!$F$7:$G$12,2,0),0)</f>
        <v>0</v>
      </c>
      <c r="O42" s="6">
        <f>IF(F42="Yes",VLOOKUP(K42,'Rates_Courier Company'!$F$15:$G$20,2,0),0)*(I42/0.5 -1)</f>
        <v>0</v>
      </c>
      <c r="P42" s="18">
        <f t="shared" si="2"/>
        <v>45.4</v>
      </c>
      <c r="Q42" s="18">
        <f>VLOOKUP(A42,'Invoice_Courier Company'!B:C,2,0)</f>
        <v>0.68</v>
      </c>
      <c r="R42" s="18">
        <f t="shared" si="3"/>
        <v>1</v>
      </c>
      <c r="S42" s="6" t="str">
        <f>UPPER(VLOOKUP(A42,'Invoice_Courier Company'!B:G,5,FALSE))</f>
        <v>D</v>
      </c>
      <c r="T42" s="18">
        <f>VLOOKUP(A42,'Invoice_Courier Company'!B:H,7,0)</f>
        <v>90.2</v>
      </c>
      <c r="U42" s="18">
        <f t="shared" si="4"/>
        <v>-44.800000000000004</v>
      </c>
      <c r="V42" s="32">
        <f t="shared" si="5"/>
        <v>-0.98678414096916311</v>
      </c>
      <c r="W42" s="18">
        <f t="shared" si="6"/>
        <v>45.4</v>
      </c>
      <c r="X42" s="6">
        <f t="shared" si="7"/>
        <v>0</v>
      </c>
    </row>
    <row r="43" spans="1:24" x14ac:dyDescent="0.3">
      <c r="A43" s="7">
        <v>2001806547</v>
      </c>
      <c r="B43" s="7">
        <v>1091117224611</v>
      </c>
      <c r="C43" s="6">
        <f>VLOOKUP(A43,'Invoice_Courier Company'!B:E,4,FALSE)</f>
        <v>283102</v>
      </c>
      <c r="D43" s="6" t="str">
        <f>VLOOKUP(A43,'Invoice_Courier Company'!B:G,6,FALSE)</f>
        <v>Forward charges</v>
      </c>
      <c r="E43" s="6" t="str">
        <f t="shared" si="0"/>
        <v>Yes</v>
      </c>
      <c r="F43" s="6" t="str">
        <f t="shared" si="1"/>
        <v>No</v>
      </c>
      <c r="G43" s="18">
        <f>SUMIFS('Order Report_Company X'!E:E,'Order Report_Company X'!A:A,A43)/1000</f>
        <v>0.127</v>
      </c>
      <c r="H43" s="18">
        <f>SUMIFS('Order Report_Company X'!E:E,'Order Report_Company X'!A:A,'Order Level Calculation_Company'!A43)</f>
        <v>127</v>
      </c>
      <c r="I43" s="18" cm="1">
        <f t="array" ref="I43">_xlfn.IFS($G43&lt;=0.5,0.5,$G43&lt;=1,1,$G43&lt;=1.5,1.5,$G43&lt;=2,2,$G43&lt;=2.5,2.5,$G43&lt;=3,3,$G43&lt;=3.5,3.5,$G43&lt;=4,4)</f>
        <v>0.5</v>
      </c>
      <c r="J43" s="18" cm="1">
        <f t="array" ref="J43">_xlfn.IFS($H43&lt;=500,0.5,$H43&lt;=1000,1,$H43&lt;=1500,1.5,$H43&lt;=2000,2,$H43&lt;=2500,2.5,$H43&lt;=3000,3,$H43&lt;=3500,3.5,$H43&lt;=4000,4)*1000</f>
        <v>500</v>
      </c>
      <c r="K43" s="6" t="str">
        <f>UPPER(VLOOKUP(C43,'Zones Pincode_Company X'!B:C,2,FALSE))</f>
        <v>B</v>
      </c>
      <c r="L43" s="18">
        <f>VLOOKUP(K43,'Rates_Courier Company'!$B$7:$C$12,2,0)</f>
        <v>33</v>
      </c>
      <c r="M43" s="18">
        <f>VLOOKUP(K43,'Rates_Courier Company'!$B$15:$C$20,2,FALSE)*(I43/0.5-1)</f>
        <v>0</v>
      </c>
      <c r="N43" s="6">
        <f>IF(F43="Yes",VLOOKUP(K43,'Rates_Courier Company'!$F$7:$G$12,2,0),0)</f>
        <v>0</v>
      </c>
      <c r="O43" s="6">
        <f>IF(F43="Yes",VLOOKUP(K43,'Rates_Courier Company'!$F$15:$G$20,2,0),0)*(I43/0.5 -1)</f>
        <v>0</v>
      </c>
      <c r="P43" s="18">
        <f t="shared" si="2"/>
        <v>33</v>
      </c>
      <c r="Q43" s="18">
        <f>VLOOKUP(A43,'Invoice_Courier Company'!B:C,2,0)</f>
        <v>1</v>
      </c>
      <c r="R43" s="18">
        <f t="shared" si="3"/>
        <v>1</v>
      </c>
      <c r="S43" s="6" t="str">
        <f>UPPER(VLOOKUP(A43,'Invoice_Courier Company'!B:G,5,FALSE))</f>
        <v>B</v>
      </c>
      <c r="T43" s="18">
        <f>VLOOKUP(A43,'Invoice_Courier Company'!B:H,7,0)</f>
        <v>61.3</v>
      </c>
      <c r="U43" s="18">
        <f t="shared" si="4"/>
        <v>-28.299999999999997</v>
      </c>
      <c r="V43" s="32">
        <f t="shared" si="5"/>
        <v>-0.85757575757575744</v>
      </c>
      <c r="W43" s="18">
        <f t="shared" si="6"/>
        <v>33</v>
      </c>
      <c r="X43" s="6">
        <f t="shared" si="7"/>
        <v>0</v>
      </c>
    </row>
    <row r="44" spans="1:24" x14ac:dyDescent="0.3">
      <c r="A44" s="7">
        <v>2001806567</v>
      </c>
      <c r="B44" s="7">
        <v>1091117224902</v>
      </c>
      <c r="C44" s="6">
        <f>VLOOKUP(A44,'Invoice_Courier Company'!B:E,4,FALSE)</f>
        <v>370201</v>
      </c>
      <c r="D44" s="6" t="str">
        <f>VLOOKUP(A44,'Invoice_Courier Company'!B:G,6,FALSE)</f>
        <v>Forward charges</v>
      </c>
      <c r="E44" s="6" t="str">
        <f t="shared" si="0"/>
        <v>Yes</v>
      </c>
      <c r="F44" s="6" t="str">
        <f t="shared" si="1"/>
        <v>No</v>
      </c>
      <c r="G44" s="18">
        <f>SUMIFS('Order Report_Company X'!E:E,'Order Report_Company X'!A:A,A44)/1000</f>
        <v>0.95199999999999996</v>
      </c>
      <c r="H44" s="18">
        <f>SUMIFS('Order Report_Company X'!E:E,'Order Report_Company X'!A:A,'Order Level Calculation_Company'!A44)</f>
        <v>952</v>
      </c>
      <c r="I44" s="18" cm="1">
        <f t="array" ref="I44">_xlfn.IFS($G44&lt;=0.5,0.5,$G44&lt;=1,1,$G44&lt;=1.5,1.5,$G44&lt;=2,2,$G44&lt;=2.5,2.5,$G44&lt;=3,3,$G44&lt;=3.5,3.5,$G44&lt;=4,4)</f>
        <v>1</v>
      </c>
      <c r="J44" s="18" cm="1">
        <f t="array" ref="J44">_xlfn.IFS($H44&lt;=500,0.5,$H44&lt;=1000,1,$H44&lt;=1500,1.5,$H44&lt;=2000,2,$H44&lt;=2500,2.5,$H44&lt;=3000,3,$H44&lt;=3500,3.5,$H44&lt;=4000,4)*1000</f>
        <v>1000</v>
      </c>
      <c r="K44" s="6" t="str">
        <f>UPPER(VLOOKUP(C44,'Zones Pincode_Company X'!B:C,2,FALSE))</f>
        <v>D</v>
      </c>
      <c r="L44" s="18">
        <f>VLOOKUP(K44,'Rates_Courier Company'!$B$7:$C$12,2,0)</f>
        <v>45.4</v>
      </c>
      <c r="M44" s="18">
        <f>VLOOKUP(K44,'Rates_Courier Company'!$B$15:$C$20,2,FALSE)*(I44/0.5-1)</f>
        <v>44.8</v>
      </c>
      <c r="N44" s="6">
        <f>IF(F44="Yes",VLOOKUP(K44,'Rates_Courier Company'!$F$7:$G$12,2,0),0)</f>
        <v>0</v>
      </c>
      <c r="O44" s="6">
        <f>IF(F44="Yes",VLOOKUP(K44,'Rates_Courier Company'!$F$15:$G$20,2,0),0)*(I44/0.5 -1)</f>
        <v>0</v>
      </c>
      <c r="P44" s="18">
        <f t="shared" si="2"/>
        <v>90.199999999999989</v>
      </c>
      <c r="Q44" s="18">
        <f>VLOOKUP(A44,'Invoice_Courier Company'!B:C,2,0)</f>
        <v>1.1599999999999999</v>
      </c>
      <c r="R44" s="18">
        <f t="shared" si="3"/>
        <v>1.5</v>
      </c>
      <c r="S44" s="6" t="str">
        <f>UPPER(VLOOKUP(A44,'Invoice_Courier Company'!B:G,5,FALSE))</f>
        <v>D</v>
      </c>
      <c r="T44" s="18">
        <f>VLOOKUP(A44,'Invoice_Courier Company'!B:H,7,0)</f>
        <v>135</v>
      </c>
      <c r="U44" s="18">
        <f t="shared" si="4"/>
        <v>-44.800000000000011</v>
      </c>
      <c r="V44" s="32">
        <f t="shared" si="5"/>
        <v>-0.4966740576496676</v>
      </c>
      <c r="W44" s="18">
        <f t="shared" si="6"/>
        <v>90.199999999999989</v>
      </c>
      <c r="X44" s="6">
        <f t="shared" si="7"/>
        <v>0</v>
      </c>
    </row>
    <row r="45" spans="1:24" x14ac:dyDescent="0.3">
      <c r="A45" s="7">
        <v>2001806575</v>
      </c>
      <c r="B45" s="7">
        <v>1091117225016</v>
      </c>
      <c r="C45" s="6">
        <f>VLOOKUP(A45,'Invoice_Courier Company'!B:E,4,FALSE)</f>
        <v>248001</v>
      </c>
      <c r="D45" s="6" t="str">
        <f>VLOOKUP(A45,'Invoice_Courier Company'!B:G,6,FALSE)</f>
        <v>Forward charges</v>
      </c>
      <c r="E45" s="6" t="str">
        <f t="shared" si="0"/>
        <v>Yes</v>
      </c>
      <c r="F45" s="6" t="str">
        <f t="shared" si="1"/>
        <v>No</v>
      </c>
      <c r="G45" s="18">
        <f>SUMIFS('Order Report_Company X'!E:E,'Order Report_Company X'!A:A,A45)/1000</f>
        <v>0.5</v>
      </c>
      <c r="H45" s="18">
        <f>SUMIFS('Order Report_Company X'!E:E,'Order Report_Company X'!A:A,'Order Level Calculation_Company'!A45)</f>
        <v>500</v>
      </c>
      <c r="I45" s="18" cm="1">
        <f t="array" ref="I45">_xlfn.IFS($G45&lt;=0.5,0.5,$G45&lt;=1,1,$G45&lt;=1.5,1.5,$G45&lt;=2,2,$G45&lt;=2.5,2.5,$G45&lt;=3,3,$G45&lt;=3.5,3.5,$G45&lt;=4,4)</f>
        <v>0.5</v>
      </c>
      <c r="J45" s="18" cm="1">
        <f t="array" ref="J45">_xlfn.IFS($H45&lt;=500,0.5,$H45&lt;=1000,1,$H45&lt;=1500,1.5,$H45&lt;=2000,2,$H45&lt;=2500,2.5,$H45&lt;=3000,3,$H45&lt;=3500,3.5,$H45&lt;=4000,4)*1000</f>
        <v>500</v>
      </c>
      <c r="K45" s="6" t="str">
        <f>UPPER(VLOOKUP(C45,'Zones Pincode_Company X'!B:C,2,FALSE))</f>
        <v>B</v>
      </c>
      <c r="L45" s="18">
        <f>VLOOKUP(K45,'Rates_Courier Company'!$B$7:$C$12,2,0)</f>
        <v>33</v>
      </c>
      <c r="M45" s="18">
        <f>VLOOKUP(K45,'Rates_Courier Company'!$B$15:$C$20,2,FALSE)*(I45/0.5-1)</f>
        <v>0</v>
      </c>
      <c r="N45" s="6">
        <f>IF(F45="Yes",VLOOKUP(K45,'Rates_Courier Company'!$F$7:$G$12,2,0),0)</f>
        <v>0</v>
      </c>
      <c r="O45" s="6">
        <f>IF(F45="Yes",VLOOKUP(K45,'Rates_Courier Company'!$F$15:$G$20,2,0),0)*(I45/0.5 -1)</f>
        <v>0</v>
      </c>
      <c r="P45" s="18">
        <f t="shared" si="2"/>
        <v>33</v>
      </c>
      <c r="Q45" s="18">
        <f>VLOOKUP(A45,'Invoice_Courier Company'!B:C,2,0)</f>
        <v>0.68</v>
      </c>
      <c r="R45" s="18">
        <f t="shared" si="3"/>
        <v>1</v>
      </c>
      <c r="S45" s="6" t="str">
        <f>UPPER(VLOOKUP(A45,'Invoice_Courier Company'!B:G,5,FALSE))</f>
        <v>B</v>
      </c>
      <c r="T45" s="18">
        <f>VLOOKUP(A45,'Invoice_Courier Company'!B:H,7,0)</f>
        <v>61.3</v>
      </c>
      <c r="U45" s="18">
        <f t="shared" si="4"/>
        <v>-28.299999999999997</v>
      </c>
      <c r="V45" s="32">
        <f t="shared" si="5"/>
        <v>-0.85757575757575744</v>
      </c>
      <c r="W45" s="18">
        <f t="shared" si="6"/>
        <v>33</v>
      </c>
      <c r="X45" s="6">
        <f t="shared" si="7"/>
        <v>0</v>
      </c>
    </row>
    <row r="46" spans="1:24" x14ac:dyDescent="0.3">
      <c r="A46" s="7">
        <v>2001806616</v>
      </c>
      <c r="B46" s="7">
        <v>1091117225484</v>
      </c>
      <c r="C46" s="6">
        <f>VLOOKUP(A46,'Invoice_Courier Company'!B:E,4,FALSE)</f>
        <v>144001</v>
      </c>
      <c r="D46" s="6" t="str">
        <f>VLOOKUP(A46,'Invoice_Courier Company'!B:G,6,FALSE)</f>
        <v>Forward charges</v>
      </c>
      <c r="E46" s="6" t="str">
        <f t="shared" si="0"/>
        <v>Yes</v>
      </c>
      <c r="F46" s="6" t="str">
        <f t="shared" si="1"/>
        <v>No</v>
      </c>
      <c r="G46" s="18">
        <f>SUMIFS('Order Report_Company X'!E:E,'Order Report_Company X'!A:A,A46)/1000</f>
        <v>0.96299999999999997</v>
      </c>
      <c r="H46" s="18">
        <f>SUMIFS('Order Report_Company X'!E:E,'Order Report_Company X'!A:A,'Order Level Calculation_Company'!A46)</f>
        <v>963</v>
      </c>
      <c r="I46" s="18" cm="1">
        <f t="array" ref="I46">_xlfn.IFS($G46&lt;=0.5,0.5,$G46&lt;=1,1,$G46&lt;=1.5,1.5,$G46&lt;=2,2,$G46&lt;=2.5,2.5,$G46&lt;=3,3,$G46&lt;=3.5,3.5,$G46&lt;=4,4)</f>
        <v>1</v>
      </c>
      <c r="J46" s="18" cm="1">
        <f t="array" ref="J46">_xlfn.IFS($H46&lt;=500,0.5,$H46&lt;=1000,1,$H46&lt;=1500,1.5,$H46&lt;=2000,2,$H46&lt;=2500,2.5,$H46&lt;=3000,3,$H46&lt;=3500,3.5,$H46&lt;=4000,4)*1000</f>
        <v>1000</v>
      </c>
      <c r="K46" s="6" t="str">
        <f>UPPER(VLOOKUP(C46,'Zones Pincode_Company X'!B:C,2,FALSE))</f>
        <v>B</v>
      </c>
      <c r="L46" s="18">
        <f>VLOOKUP(K46,'Rates_Courier Company'!$B$7:$C$12,2,0)</f>
        <v>33</v>
      </c>
      <c r="M46" s="18">
        <f>VLOOKUP(K46,'Rates_Courier Company'!$B$15:$C$20,2,FALSE)*(I46/0.5-1)</f>
        <v>28.3</v>
      </c>
      <c r="N46" s="6">
        <f>IF(F46="Yes",VLOOKUP(K46,'Rates_Courier Company'!$F$7:$G$12,2,0),0)</f>
        <v>0</v>
      </c>
      <c r="O46" s="6">
        <f>IF(F46="Yes",VLOOKUP(K46,'Rates_Courier Company'!$F$15:$G$20,2,0),0)*(I46/0.5 -1)</f>
        <v>0</v>
      </c>
      <c r="P46" s="18">
        <f t="shared" si="2"/>
        <v>61.3</v>
      </c>
      <c r="Q46" s="18">
        <f>VLOOKUP(A46,'Invoice_Courier Company'!B:C,2,0)</f>
        <v>1.08</v>
      </c>
      <c r="R46" s="18">
        <f t="shared" si="3"/>
        <v>1.5</v>
      </c>
      <c r="S46" s="6" t="str">
        <f>UPPER(VLOOKUP(A46,'Invoice_Courier Company'!B:G,5,FALSE))</f>
        <v>B</v>
      </c>
      <c r="T46" s="18">
        <f>VLOOKUP(A46,'Invoice_Courier Company'!B:H,7,0)</f>
        <v>89.6</v>
      </c>
      <c r="U46" s="18">
        <f t="shared" si="4"/>
        <v>-28.299999999999997</v>
      </c>
      <c r="V46" s="32">
        <f t="shared" si="5"/>
        <v>-0.46166394779771613</v>
      </c>
      <c r="W46" s="18">
        <f t="shared" si="6"/>
        <v>61.3</v>
      </c>
      <c r="X46" s="6">
        <f t="shared" si="7"/>
        <v>0</v>
      </c>
    </row>
    <row r="47" spans="1:24" x14ac:dyDescent="0.3">
      <c r="A47" s="7">
        <v>2001806652</v>
      </c>
      <c r="B47" s="7">
        <v>1091117226221</v>
      </c>
      <c r="C47" s="6">
        <f>VLOOKUP(A47,'Invoice_Courier Company'!B:E,4,FALSE)</f>
        <v>403401</v>
      </c>
      <c r="D47" s="6" t="str">
        <f>VLOOKUP(A47,'Invoice_Courier Company'!B:G,6,FALSE)</f>
        <v>Forward charges</v>
      </c>
      <c r="E47" s="6" t="str">
        <f t="shared" si="0"/>
        <v>Yes</v>
      </c>
      <c r="F47" s="6" t="str">
        <f t="shared" si="1"/>
        <v>No</v>
      </c>
      <c r="G47" s="18">
        <f>SUMIFS('Order Report_Company X'!E:E,'Order Report_Company X'!A:A,A47)/1000</f>
        <v>0.5</v>
      </c>
      <c r="H47" s="18">
        <f>SUMIFS('Order Report_Company X'!E:E,'Order Report_Company X'!A:A,'Order Level Calculation_Company'!A47)</f>
        <v>500</v>
      </c>
      <c r="I47" s="18" cm="1">
        <f t="array" ref="I47">_xlfn.IFS($G47&lt;=0.5,0.5,$G47&lt;=1,1,$G47&lt;=1.5,1.5,$G47&lt;=2,2,$G47&lt;=2.5,2.5,$G47&lt;=3,3,$G47&lt;=3.5,3.5,$G47&lt;=4,4)</f>
        <v>0.5</v>
      </c>
      <c r="J47" s="18" cm="1">
        <f t="array" ref="J47">_xlfn.IFS($H47&lt;=500,0.5,$H47&lt;=1000,1,$H47&lt;=1500,1.5,$H47&lt;=2000,2,$H47&lt;=2500,2.5,$H47&lt;=3000,3,$H47&lt;=3500,3.5,$H47&lt;=4000,4)*1000</f>
        <v>500</v>
      </c>
      <c r="K47" s="6" t="str">
        <f>UPPER(VLOOKUP(C47,'Zones Pincode_Company X'!B:C,2,FALSE))</f>
        <v>D</v>
      </c>
      <c r="L47" s="18">
        <f>VLOOKUP(K47,'Rates_Courier Company'!$B$7:$C$12,2,0)</f>
        <v>45.4</v>
      </c>
      <c r="M47" s="18">
        <f>VLOOKUP(K47,'Rates_Courier Company'!$B$15:$C$20,2,FALSE)*(I47/0.5-1)</f>
        <v>0</v>
      </c>
      <c r="N47" s="6">
        <f>IF(F47="Yes",VLOOKUP(K47,'Rates_Courier Company'!$F$7:$G$12,2,0),0)</f>
        <v>0</v>
      </c>
      <c r="O47" s="6">
        <f>IF(F47="Yes",VLOOKUP(K47,'Rates_Courier Company'!$F$15:$G$20,2,0),0)*(I47/0.5 -1)</f>
        <v>0</v>
      </c>
      <c r="P47" s="18">
        <f t="shared" si="2"/>
        <v>45.4</v>
      </c>
      <c r="Q47" s="18">
        <f>VLOOKUP(A47,'Invoice_Courier Company'!B:C,2,0)</f>
        <v>0.69</v>
      </c>
      <c r="R47" s="18">
        <f t="shared" si="3"/>
        <v>1</v>
      </c>
      <c r="S47" s="6" t="str">
        <f>UPPER(VLOOKUP(A47,'Invoice_Courier Company'!B:G,5,FALSE))</f>
        <v>D</v>
      </c>
      <c r="T47" s="18">
        <f>VLOOKUP(A47,'Invoice_Courier Company'!B:H,7,0)</f>
        <v>90.2</v>
      </c>
      <c r="U47" s="18">
        <f t="shared" si="4"/>
        <v>-44.800000000000004</v>
      </c>
      <c r="V47" s="32">
        <f t="shared" si="5"/>
        <v>-0.98678414096916311</v>
      </c>
      <c r="W47" s="18">
        <f t="shared" si="6"/>
        <v>45.4</v>
      </c>
      <c r="X47" s="6">
        <f t="shared" si="7"/>
        <v>0</v>
      </c>
    </row>
    <row r="48" spans="1:24" x14ac:dyDescent="0.3">
      <c r="A48" s="7">
        <v>2001806733</v>
      </c>
      <c r="B48" s="7">
        <v>1091117226674</v>
      </c>
      <c r="C48" s="6">
        <f>VLOOKUP(A48,'Invoice_Courier Company'!B:E,4,FALSE)</f>
        <v>452001</v>
      </c>
      <c r="D48" s="6" t="str">
        <f>VLOOKUP(A48,'Invoice_Courier Company'!B:G,6,FALSE)</f>
        <v>Forward charges</v>
      </c>
      <c r="E48" s="6" t="str">
        <f t="shared" si="0"/>
        <v>Yes</v>
      </c>
      <c r="F48" s="6" t="str">
        <f t="shared" si="1"/>
        <v>No</v>
      </c>
      <c r="G48" s="18">
        <f>SUMIFS('Order Report_Company X'!E:E,'Order Report_Company X'!A:A,A48)/1000</f>
        <v>0.96699999999999997</v>
      </c>
      <c r="H48" s="18">
        <f>SUMIFS('Order Report_Company X'!E:E,'Order Report_Company X'!A:A,'Order Level Calculation_Company'!A48)</f>
        <v>967</v>
      </c>
      <c r="I48" s="18" cm="1">
        <f t="array" ref="I48">_xlfn.IFS($G48&lt;=0.5,0.5,$G48&lt;=1,1,$G48&lt;=1.5,1.5,$G48&lt;=2,2,$G48&lt;=2.5,2.5,$G48&lt;=3,3,$G48&lt;=3.5,3.5,$G48&lt;=4,4)</f>
        <v>1</v>
      </c>
      <c r="J48" s="18" cm="1">
        <f t="array" ref="J48">_xlfn.IFS($H48&lt;=500,0.5,$H48&lt;=1000,1,$H48&lt;=1500,1.5,$H48&lt;=2000,2,$H48&lt;=2500,2.5,$H48&lt;=3000,3,$H48&lt;=3500,3.5,$H48&lt;=4000,4)*1000</f>
        <v>1000</v>
      </c>
      <c r="K48" s="6" t="str">
        <f>UPPER(VLOOKUP(C48,'Zones Pincode_Company X'!B:C,2,FALSE))</f>
        <v>D</v>
      </c>
      <c r="L48" s="18">
        <f>VLOOKUP(K48,'Rates_Courier Company'!$B$7:$C$12,2,0)</f>
        <v>45.4</v>
      </c>
      <c r="M48" s="18">
        <f>VLOOKUP(K48,'Rates_Courier Company'!$B$15:$C$20,2,FALSE)*(I48/0.5-1)</f>
        <v>44.8</v>
      </c>
      <c r="N48" s="6">
        <f>IF(F48="Yes",VLOOKUP(K48,'Rates_Courier Company'!$F$7:$G$12,2,0),0)</f>
        <v>0</v>
      </c>
      <c r="O48" s="6">
        <f>IF(F48="Yes",VLOOKUP(K48,'Rates_Courier Company'!$F$15:$G$20,2,0),0)*(I48/0.5 -1)</f>
        <v>0</v>
      </c>
      <c r="P48" s="18">
        <f t="shared" si="2"/>
        <v>90.199999999999989</v>
      </c>
      <c r="Q48" s="18">
        <f>VLOOKUP(A48,'Invoice_Courier Company'!B:C,2,0)</f>
        <v>1.1299999999999999</v>
      </c>
      <c r="R48" s="18">
        <f t="shared" si="3"/>
        <v>1.5</v>
      </c>
      <c r="S48" s="6" t="str">
        <f>UPPER(VLOOKUP(A48,'Invoice_Courier Company'!B:G,5,FALSE))</f>
        <v>D</v>
      </c>
      <c r="T48" s="18">
        <f>VLOOKUP(A48,'Invoice_Courier Company'!B:H,7,0)</f>
        <v>135</v>
      </c>
      <c r="U48" s="18">
        <f t="shared" si="4"/>
        <v>-44.800000000000011</v>
      </c>
      <c r="V48" s="32">
        <f t="shared" si="5"/>
        <v>-0.4966740576496676</v>
      </c>
      <c r="W48" s="18">
        <f t="shared" si="6"/>
        <v>90.199999999999989</v>
      </c>
      <c r="X48" s="6">
        <f t="shared" si="7"/>
        <v>0</v>
      </c>
    </row>
    <row r="49" spans="1:24" x14ac:dyDescent="0.3">
      <c r="A49" s="7">
        <v>2001806735</v>
      </c>
      <c r="B49" s="7">
        <v>1091117226711</v>
      </c>
      <c r="C49" s="6">
        <f>VLOOKUP(A49,'Invoice_Courier Company'!B:E,4,FALSE)</f>
        <v>721636</v>
      </c>
      <c r="D49" s="6" t="str">
        <f>VLOOKUP(A49,'Invoice_Courier Company'!B:G,6,FALSE)</f>
        <v>Forward charges</v>
      </c>
      <c r="E49" s="6" t="str">
        <f t="shared" si="0"/>
        <v>Yes</v>
      </c>
      <c r="F49" s="6" t="str">
        <f t="shared" si="1"/>
        <v>No</v>
      </c>
      <c r="G49" s="18">
        <f>SUMIFS('Order Report_Company X'!E:E,'Order Report_Company X'!A:A,A49)/1000</f>
        <v>0.5</v>
      </c>
      <c r="H49" s="18">
        <f>SUMIFS('Order Report_Company X'!E:E,'Order Report_Company X'!A:A,'Order Level Calculation_Company'!A49)</f>
        <v>500</v>
      </c>
      <c r="I49" s="18" cm="1">
        <f t="array" ref="I49">_xlfn.IFS($G49&lt;=0.5,0.5,$G49&lt;=1,1,$G49&lt;=1.5,1.5,$G49&lt;=2,2,$G49&lt;=2.5,2.5,$G49&lt;=3,3,$G49&lt;=3.5,3.5,$G49&lt;=4,4)</f>
        <v>0.5</v>
      </c>
      <c r="J49" s="18" cm="1">
        <f t="array" ref="J49">_xlfn.IFS($H49&lt;=500,0.5,$H49&lt;=1000,1,$H49&lt;=1500,1.5,$H49&lt;=2000,2,$H49&lt;=2500,2.5,$H49&lt;=3000,3,$H49&lt;=3500,3.5,$H49&lt;=4000,4)*1000</f>
        <v>500</v>
      </c>
      <c r="K49" s="6" t="str">
        <f>UPPER(VLOOKUP(C49,'Zones Pincode_Company X'!B:C,2,FALSE))</f>
        <v>D</v>
      </c>
      <c r="L49" s="18">
        <f>VLOOKUP(K49,'Rates_Courier Company'!$B$7:$C$12,2,0)</f>
        <v>45.4</v>
      </c>
      <c r="M49" s="18">
        <f>VLOOKUP(K49,'Rates_Courier Company'!$B$15:$C$20,2,FALSE)*(I49/0.5-1)</f>
        <v>0</v>
      </c>
      <c r="N49" s="6">
        <f>IF(F49="Yes",VLOOKUP(K49,'Rates_Courier Company'!$F$7:$G$12,2,0),0)</f>
        <v>0</v>
      </c>
      <c r="O49" s="6">
        <f>IF(F49="Yes",VLOOKUP(K49,'Rates_Courier Company'!$F$15:$G$20,2,0),0)*(I49/0.5 -1)</f>
        <v>0</v>
      </c>
      <c r="P49" s="18">
        <f t="shared" si="2"/>
        <v>45.4</v>
      </c>
      <c r="Q49" s="18">
        <f>VLOOKUP(A49,'Invoice_Courier Company'!B:C,2,0)</f>
        <v>0.69</v>
      </c>
      <c r="R49" s="18">
        <f t="shared" si="3"/>
        <v>1</v>
      </c>
      <c r="S49" s="6" t="str">
        <f>UPPER(VLOOKUP(A49,'Invoice_Courier Company'!B:G,5,FALSE))</f>
        <v>D</v>
      </c>
      <c r="T49" s="18">
        <f>VLOOKUP(A49,'Invoice_Courier Company'!B:H,7,0)</f>
        <v>90.2</v>
      </c>
      <c r="U49" s="18">
        <f t="shared" si="4"/>
        <v>-44.800000000000004</v>
      </c>
      <c r="V49" s="32">
        <f t="shared" si="5"/>
        <v>-0.98678414096916311</v>
      </c>
      <c r="W49" s="18">
        <f t="shared" si="6"/>
        <v>45.4</v>
      </c>
      <c r="X49" s="6">
        <f t="shared" si="7"/>
        <v>0</v>
      </c>
    </row>
    <row r="50" spans="1:24" x14ac:dyDescent="0.3">
      <c r="A50" s="7">
        <v>2001806726</v>
      </c>
      <c r="B50" s="7">
        <v>1091117226910</v>
      </c>
      <c r="C50" s="6">
        <f>VLOOKUP(A50,'Invoice_Courier Company'!B:E,4,FALSE)</f>
        <v>831002</v>
      </c>
      <c r="D50" s="6" t="str">
        <f>VLOOKUP(A50,'Invoice_Courier Company'!B:G,6,FALSE)</f>
        <v>Forward charges</v>
      </c>
      <c r="E50" s="6" t="str">
        <f t="shared" si="0"/>
        <v>Yes</v>
      </c>
      <c r="F50" s="6" t="str">
        <f t="shared" si="1"/>
        <v>No</v>
      </c>
      <c r="G50" s="18">
        <f>SUMIFS('Order Report_Company X'!E:E,'Order Report_Company X'!A:A,A50)/1000</f>
        <v>0.5</v>
      </c>
      <c r="H50" s="18">
        <f>SUMIFS('Order Report_Company X'!E:E,'Order Report_Company X'!A:A,'Order Level Calculation_Company'!A50)</f>
        <v>500</v>
      </c>
      <c r="I50" s="18" cm="1">
        <f t="array" ref="I50">_xlfn.IFS($G50&lt;=0.5,0.5,$G50&lt;=1,1,$G50&lt;=1.5,1.5,$G50&lt;=2,2,$G50&lt;=2.5,2.5,$G50&lt;=3,3,$G50&lt;=3.5,3.5,$G50&lt;=4,4)</f>
        <v>0.5</v>
      </c>
      <c r="J50" s="18" cm="1">
        <f t="array" ref="J50">_xlfn.IFS($H50&lt;=500,0.5,$H50&lt;=1000,1,$H50&lt;=1500,1.5,$H50&lt;=2000,2,$H50&lt;=2500,2.5,$H50&lt;=3000,3,$H50&lt;=3500,3.5,$H50&lt;=4000,4)*1000</f>
        <v>500</v>
      </c>
      <c r="K50" s="6" t="str">
        <f>UPPER(VLOOKUP(C50,'Zones Pincode_Company X'!B:C,2,FALSE))</f>
        <v>D</v>
      </c>
      <c r="L50" s="18">
        <f>VLOOKUP(K50,'Rates_Courier Company'!$B$7:$C$12,2,0)</f>
        <v>45.4</v>
      </c>
      <c r="M50" s="18">
        <f>VLOOKUP(K50,'Rates_Courier Company'!$B$15:$C$20,2,FALSE)*(I50/0.5-1)</f>
        <v>0</v>
      </c>
      <c r="N50" s="6">
        <f>IF(F50="Yes",VLOOKUP(K50,'Rates_Courier Company'!$F$7:$G$12,2,0),0)</f>
        <v>0</v>
      </c>
      <c r="O50" s="6">
        <f>IF(F50="Yes",VLOOKUP(K50,'Rates_Courier Company'!$F$15:$G$20,2,0),0)*(I50/0.5 -1)</f>
        <v>0</v>
      </c>
      <c r="P50" s="18">
        <f t="shared" si="2"/>
        <v>45.4</v>
      </c>
      <c r="Q50" s="18">
        <f>VLOOKUP(A50,'Invoice_Courier Company'!B:C,2,0)</f>
        <v>0.68</v>
      </c>
      <c r="R50" s="18">
        <f t="shared" si="3"/>
        <v>1</v>
      </c>
      <c r="S50" s="6" t="str">
        <f>UPPER(VLOOKUP(A50,'Invoice_Courier Company'!B:G,5,FALSE))</f>
        <v>D</v>
      </c>
      <c r="T50" s="18">
        <f>VLOOKUP(A50,'Invoice_Courier Company'!B:H,7,0)</f>
        <v>90.2</v>
      </c>
      <c r="U50" s="18">
        <f t="shared" si="4"/>
        <v>-44.800000000000004</v>
      </c>
      <c r="V50" s="32">
        <f t="shared" si="5"/>
        <v>-0.98678414096916311</v>
      </c>
      <c r="W50" s="18">
        <f t="shared" si="6"/>
        <v>45.4</v>
      </c>
      <c r="X50" s="6">
        <f t="shared" si="7"/>
        <v>0</v>
      </c>
    </row>
    <row r="51" spans="1:24" x14ac:dyDescent="0.3">
      <c r="A51" s="7">
        <v>2001806776</v>
      </c>
      <c r="B51" s="7">
        <v>1091117227573</v>
      </c>
      <c r="C51" s="6">
        <f>VLOOKUP(A51,'Invoice_Courier Company'!B:E,4,FALSE)</f>
        <v>226004</v>
      </c>
      <c r="D51" s="6" t="str">
        <f>VLOOKUP(A51,'Invoice_Courier Company'!B:G,6,FALSE)</f>
        <v>Forward charges</v>
      </c>
      <c r="E51" s="6" t="str">
        <f t="shared" si="0"/>
        <v>Yes</v>
      </c>
      <c r="F51" s="6" t="str">
        <f t="shared" si="1"/>
        <v>No</v>
      </c>
      <c r="G51" s="18">
        <f>SUMIFS('Order Report_Company X'!E:E,'Order Report_Company X'!A:A,A51)/1000</f>
        <v>0.61099999999999999</v>
      </c>
      <c r="H51" s="18">
        <f>SUMIFS('Order Report_Company X'!E:E,'Order Report_Company X'!A:A,'Order Level Calculation_Company'!A51)</f>
        <v>611</v>
      </c>
      <c r="I51" s="18" cm="1">
        <f t="array" ref="I51">_xlfn.IFS($G51&lt;=0.5,0.5,$G51&lt;=1,1,$G51&lt;=1.5,1.5,$G51&lt;=2,2,$G51&lt;=2.5,2.5,$G51&lt;=3,3,$G51&lt;=3.5,3.5,$G51&lt;=4,4)</f>
        <v>1</v>
      </c>
      <c r="J51" s="18" cm="1">
        <f t="array" ref="J51">_xlfn.IFS($H51&lt;=500,0.5,$H51&lt;=1000,1,$H51&lt;=1500,1.5,$H51&lt;=2000,2,$H51&lt;=2500,2.5,$H51&lt;=3000,3,$H51&lt;=3500,3.5,$H51&lt;=4000,4)*1000</f>
        <v>1000</v>
      </c>
      <c r="K51" s="6" t="str">
        <f>UPPER(VLOOKUP(C51,'Zones Pincode_Company X'!B:C,2,FALSE))</f>
        <v>B</v>
      </c>
      <c r="L51" s="18">
        <f>VLOOKUP(K51,'Rates_Courier Company'!$B$7:$C$12,2,0)</f>
        <v>33</v>
      </c>
      <c r="M51" s="18">
        <f>VLOOKUP(K51,'Rates_Courier Company'!$B$15:$C$20,2,FALSE)*(I51/0.5-1)</f>
        <v>28.3</v>
      </c>
      <c r="N51" s="6">
        <f>IF(F51="Yes",VLOOKUP(K51,'Rates_Courier Company'!$F$7:$G$12,2,0),0)</f>
        <v>0</v>
      </c>
      <c r="O51" s="6">
        <f>IF(F51="Yes",VLOOKUP(K51,'Rates_Courier Company'!$F$15:$G$20,2,0),0)*(I51/0.5 -1)</f>
        <v>0</v>
      </c>
      <c r="P51" s="18">
        <f t="shared" si="2"/>
        <v>61.3</v>
      </c>
      <c r="Q51" s="18">
        <f>VLOOKUP(A51,'Invoice_Courier Company'!B:C,2,0)</f>
        <v>2.86</v>
      </c>
      <c r="R51" s="18">
        <f t="shared" si="3"/>
        <v>3</v>
      </c>
      <c r="S51" s="6" t="str">
        <f>UPPER(VLOOKUP(A51,'Invoice_Courier Company'!B:G,5,FALSE))</f>
        <v>B</v>
      </c>
      <c r="T51" s="18">
        <f>VLOOKUP(A51,'Invoice_Courier Company'!B:H,7,0)</f>
        <v>174.5</v>
      </c>
      <c r="U51" s="18">
        <f t="shared" si="4"/>
        <v>-113.2</v>
      </c>
      <c r="V51" s="32">
        <f t="shared" si="5"/>
        <v>-1.8466557911908648</v>
      </c>
      <c r="W51" s="18">
        <f t="shared" si="6"/>
        <v>61.3</v>
      </c>
      <c r="X51" s="6">
        <f t="shared" si="7"/>
        <v>0</v>
      </c>
    </row>
    <row r="52" spans="1:24" x14ac:dyDescent="0.3">
      <c r="A52" s="7">
        <v>2001806801</v>
      </c>
      <c r="B52" s="7">
        <v>1091117227816</v>
      </c>
      <c r="C52" s="6">
        <f>VLOOKUP(A52,'Invoice_Courier Company'!B:E,4,FALSE)</f>
        <v>248001</v>
      </c>
      <c r="D52" s="6" t="str">
        <f>VLOOKUP(A52,'Invoice_Courier Company'!B:G,6,FALSE)</f>
        <v>Forward charges</v>
      </c>
      <c r="E52" s="6" t="str">
        <f t="shared" si="0"/>
        <v>Yes</v>
      </c>
      <c r="F52" s="6" t="str">
        <f t="shared" si="1"/>
        <v>No</v>
      </c>
      <c r="G52" s="18">
        <f>SUMIFS('Order Report_Company X'!E:E,'Order Report_Company X'!A:A,A52)/1000</f>
        <v>0.36099999999999999</v>
      </c>
      <c r="H52" s="18">
        <f>SUMIFS('Order Report_Company X'!E:E,'Order Report_Company X'!A:A,'Order Level Calculation_Company'!A52)</f>
        <v>361</v>
      </c>
      <c r="I52" s="18" cm="1">
        <f t="array" ref="I52">_xlfn.IFS($G52&lt;=0.5,0.5,$G52&lt;=1,1,$G52&lt;=1.5,1.5,$G52&lt;=2,2,$G52&lt;=2.5,2.5,$G52&lt;=3,3,$G52&lt;=3.5,3.5,$G52&lt;=4,4)</f>
        <v>0.5</v>
      </c>
      <c r="J52" s="18" cm="1">
        <f t="array" ref="J52">_xlfn.IFS($H52&lt;=500,0.5,$H52&lt;=1000,1,$H52&lt;=1500,1.5,$H52&lt;=2000,2,$H52&lt;=2500,2.5,$H52&lt;=3000,3,$H52&lt;=3500,3.5,$H52&lt;=4000,4)*1000</f>
        <v>500</v>
      </c>
      <c r="K52" s="6" t="str">
        <f>UPPER(VLOOKUP(C52,'Zones Pincode_Company X'!B:C,2,FALSE))</f>
        <v>B</v>
      </c>
      <c r="L52" s="18">
        <f>VLOOKUP(K52,'Rates_Courier Company'!$B$7:$C$12,2,0)</f>
        <v>33</v>
      </c>
      <c r="M52" s="18">
        <f>VLOOKUP(K52,'Rates_Courier Company'!$B$15:$C$20,2,FALSE)*(I52/0.5-1)</f>
        <v>0</v>
      </c>
      <c r="N52" s="6">
        <f>IF(F52="Yes",VLOOKUP(K52,'Rates_Courier Company'!$F$7:$G$12,2,0),0)</f>
        <v>0</v>
      </c>
      <c r="O52" s="6">
        <f>IF(F52="Yes",VLOOKUP(K52,'Rates_Courier Company'!$F$15:$G$20,2,0),0)*(I52/0.5 -1)</f>
        <v>0</v>
      </c>
      <c r="P52" s="18">
        <f t="shared" si="2"/>
        <v>33</v>
      </c>
      <c r="Q52" s="18">
        <f>VLOOKUP(A52,'Invoice_Courier Company'!B:C,2,0)</f>
        <v>1.35</v>
      </c>
      <c r="R52" s="18">
        <f t="shared" si="3"/>
        <v>1.5</v>
      </c>
      <c r="S52" s="6" t="str">
        <f>UPPER(VLOOKUP(A52,'Invoice_Courier Company'!B:G,5,FALSE))</f>
        <v>B</v>
      </c>
      <c r="T52" s="18">
        <f>VLOOKUP(A52,'Invoice_Courier Company'!B:H,7,0)</f>
        <v>89.6</v>
      </c>
      <c r="U52" s="18">
        <f t="shared" si="4"/>
        <v>-56.599999999999994</v>
      </c>
      <c r="V52" s="32">
        <f t="shared" si="5"/>
        <v>-1.7151515151515149</v>
      </c>
      <c r="W52" s="18">
        <f t="shared" si="6"/>
        <v>33</v>
      </c>
      <c r="X52" s="6">
        <f t="shared" si="7"/>
        <v>0</v>
      </c>
    </row>
    <row r="53" spans="1:24" x14ac:dyDescent="0.3">
      <c r="A53" s="7">
        <v>2001807004</v>
      </c>
      <c r="B53" s="7">
        <v>1091117229290</v>
      </c>
      <c r="C53" s="6">
        <f>VLOOKUP(A53,'Invoice_Courier Company'!B:E,4,FALSE)</f>
        <v>410206</v>
      </c>
      <c r="D53" s="6" t="str">
        <f>VLOOKUP(A53,'Invoice_Courier Company'!B:G,6,FALSE)</f>
        <v>Forward charges</v>
      </c>
      <c r="E53" s="6" t="str">
        <f t="shared" si="0"/>
        <v>Yes</v>
      </c>
      <c r="F53" s="6" t="str">
        <f t="shared" si="1"/>
        <v>No</v>
      </c>
      <c r="G53" s="18">
        <f>SUMIFS('Order Report_Company X'!E:E,'Order Report_Company X'!A:A,A53)/1000</f>
        <v>0.5</v>
      </c>
      <c r="H53" s="18">
        <f>SUMIFS('Order Report_Company X'!E:E,'Order Report_Company X'!A:A,'Order Level Calculation_Company'!A53)</f>
        <v>500</v>
      </c>
      <c r="I53" s="18" cm="1">
        <f t="array" ref="I53">_xlfn.IFS($G53&lt;=0.5,0.5,$G53&lt;=1,1,$G53&lt;=1.5,1.5,$G53&lt;=2,2,$G53&lt;=2.5,2.5,$G53&lt;=3,3,$G53&lt;=3.5,3.5,$G53&lt;=4,4)</f>
        <v>0.5</v>
      </c>
      <c r="J53" s="18" cm="1">
        <f t="array" ref="J53">_xlfn.IFS($H53&lt;=500,0.5,$H53&lt;=1000,1,$H53&lt;=1500,1.5,$H53&lt;=2000,2,$H53&lt;=2500,2.5,$H53&lt;=3000,3,$H53&lt;=3500,3.5,$H53&lt;=4000,4)*1000</f>
        <v>500</v>
      </c>
      <c r="K53" s="6" t="str">
        <f>UPPER(VLOOKUP(C53,'Zones Pincode_Company X'!B:C,2,FALSE))</f>
        <v>D</v>
      </c>
      <c r="L53" s="18">
        <f>VLOOKUP(K53,'Rates_Courier Company'!$B$7:$C$12,2,0)</f>
        <v>45.4</v>
      </c>
      <c r="M53" s="18">
        <f>VLOOKUP(K53,'Rates_Courier Company'!$B$15:$C$20,2,FALSE)*(I53/0.5-1)</f>
        <v>0</v>
      </c>
      <c r="N53" s="6">
        <f>IF(F53="Yes",VLOOKUP(K53,'Rates_Courier Company'!$F$7:$G$12,2,0),0)</f>
        <v>0</v>
      </c>
      <c r="O53" s="6">
        <f>IF(F53="Yes",VLOOKUP(K53,'Rates_Courier Company'!$F$15:$G$20,2,0),0)*(I53/0.5 -1)</f>
        <v>0</v>
      </c>
      <c r="P53" s="18">
        <f t="shared" si="2"/>
        <v>45.4</v>
      </c>
      <c r="Q53" s="18">
        <f>VLOOKUP(A53,'Invoice_Courier Company'!B:C,2,0)</f>
        <v>0.68</v>
      </c>
      <c r="R53" s="18">
        <f t="shared" si="3"/>
        <v>1</v>
      </c>
      <c r="S53" s="6" t="str">
        <f>UPPER(VLOOKUP(A53,'Invoice_Courier Company'!B:G,5,FALSE))</f>
        <v>D</v>
      </c>
      <c r="T53" s="18">
        <f>VLOOKUP(A53,'Invoice_Courier Company'!B:H,7,0)</f>
        <v>90.2</v>
      </c>
      <c r="U53" s="18">
        <f t="shared" si="4"/>
        <v>-44.800000000000004</v>
      </c>
      <c r="V53" s="32">
        <f t="shared" si="5"/>
        <v>-0.98678414096916311</v>
      </c>
      <c r="W53" s="18">
        <f t="shared" si="6"/>
        <v>45.4</v>
      </c>
      <c r="X53" s="6">
        <f t="shared" si="7"/>
        <v>0</v>
      </c>
    </row>
    <row r="54" spans="1:24" x14ac:dyDescent="0.3">
      <c r="A54" s="7">
        <v>2001807036</v>
      </c>
      <c r="B54" s="7">
        <v>1091117323005</v>
      </c>
      <c r="C54" s="6">
        <f>VLOOKUP(A54,'Invoice_Courier Company'!B:E,4,FALSE)</f>
        <v>516503</v>
      </c>
      <c r="D54" s="6" t="str">
        <f>VLOOKUP(A54,'Invoice_Courier Company'!B:G,6,FALSE)</f>
        <v>Forward charges</v>
      </c>
      <c r="E54" s="6" t="str">
        <f t="shared" si="0"/>
        <v>Yes</v>
      </c>
      <c r="F54" s="6" t="str">
        <f t="shared" si="1"/>
        <v>No</v>
      </c>
      <c r="G54" s="18">
        <f>SUMIFS('Order Report_Company X'!E:E,'Order Report_Company X'!A:A,A54)/1000</f>
        <v>1.4590000000000001</v>
      </c>
      <c r="H54" s="18">
        <f>SUMIFS('Order Report_Company X'!E:E,'Order Report_Company X'!A:A,'Order Level Calculation_Company'!A54)</f>
        <v>1459</v>
      </c>
      <c r="I54" s="18" cm="1">
        <f t="array" ref="I54">_xlfn.IFS($G54&lt;=0.5,0.5,$G54&lt;=1,1,$G54&lt;=1.5,1.5,$G54&lt;=2,2,$G54&lt;=2.5,2.5,$G54&lt;=3,3,$G54&lt;=3.5,3.5,$G54&lt;=4,4)</f>
        <v>1.5</v>
      </c>
      <c r="J54" s="18" cm="1">
        <f t="array" ref="J54">_xlfn.IFS($H54&lt;=500,0.5,$H54&lt;=1000,1,$H54&lt;=1500,1.5,$H54&lt;=2000,2,$H54&lt;=2500,2.5,$H54&lt;=3000,3,$H54&lt;=3500,3.5,$H54&lt;=4000,4)*1000</f>
        <v>1500</v>
      </c>
      <c r="K54" s="6" t="str">
        <f>UPPER(VLOOKUP(C54,'Zones Pincode_Company X'!B:C,2,FALSE))</f>
        <v>D</v>
      </c>
      <c r="L54" s="18">
        <f>VLOOKUP(K54,'Rates_Courier Company'!$B$7:$C$12,2,0)</f>
        <v>45.4</v>
      </c>
      <c r="M54" s="18">
        <f>VLOOKUP(K54,'Rates_Courier Company'!$B$15:$C$20,2,FALSE)*(I54/0.5-1)</f>
        <v>89.6</v>
      </c>
      <c r="N54" s="6">
        <f>IF(F54="Yes",VLOOKUP(K54,'Rates_Courier Company'!$F$7:$G$12,2,0),0)</f>
        <v>0</v>
      </c>
      <c r="O54" s="6">
        <f>IF(F54="Yes",VLOOKUP(K54,'Rates_Courier Company'!$F$15:$G$20,2,0),0)*(I54/0.5 -1)</f>
        <v>0</v>
      </c>
      <c r="P54" s="18">
        <f t="shared" si="2"/>
        <v>135</v>
      </c>
      <c r="Q54" s="18">
        <f>VLOOKUP(A54,'Invoice_Courier Company'!B:C,2,0)</f>
        <v>1.64</v>
      </c>
      <c r="R54" s="18">
        <f t="shared" si="3"/>
        <v>2</v>
      </c>
      <c r="S54" s="6" t="str">
        <f>UPPER(VLOOKUP(A54,'Invoice_Courier Company'!B:G,5,FALSE))</f>
        <v>D</v>
      </c>
      <c r="T54" s="18">
        <f>VLOOKUP(A54,'Invoice_Courier Company'!B:H,7,0)</f>
        <v>179.8</v>
      </c>
      <c r="U54" s="18">
        <f t="shared" si="4"/>
        <v>-44.800000000000011</v>
      </c>
      <c r="V54" s="32">
        <f t="shared" si="5"/>
        <v>-0.33185185185185195</v>
      </c>
      <c r="W54" s="18">
        <f t="shared" si="6"/>
        <v>135</v>
      </c>
      <c r="X54" s="6">
        <f t="shared" si="7"/>
        <v>0</v>
      </c>
    </row>
    <row r="55" spans="1:24" x14ac:dyDescent="0.3">
      <c r="A55" s="7">
        <v>2001807084</v>
      </c>
      <c r="B55" s="7">
        <v>1091117323215</v>
      </c>
      <c r="C55" s="6">
        <f>VLOOKUP(A55,'Invoice_Courier Company'!B:E,4,FALSE)</f>
        <v>742103</v>
      </c>
      <c r="D55" s="6" t="str">
        <f>VLOOKUP(A55,'Invoice_Courier Company'!B:G,6,FALSE)</f>
        <v>Forward charges</v>
      </c>
      <c r="E55" s="6" t="str">
        <f t="shared" si="0"/>
        <v>Yes</v>
      </c>
      <c r="F55" s="6" t="str">
        <f t="shared" si="1"/>
        <v>No</v>
      </c>
      <c r="G55" s="18">
        <f>SUMIFS('Order Report_Company X'!E:E,'Order Report_Company X'!A:A,A55)/1000</f>
        <v>0.5</v>
      </c>
      <c r="H55" s="18">
        <f>SUMIFS('Order Report_Company X'!E:E,'Order Report_Company X'!A:A,'Order Level Calculation_Company'!A55)</f>
        <v>500</v>
      </c>
      <c r="I55" s="18" cm="1">
        <f t="array" ref="I55">_xlfn.IFS($G55&lt;=0.5,0.5,$G55&lt;=1,1,$G55&lt;=1.5,1.5,$G55&lt;=2,2,$G55&lt;=2.5,2.5,$G55&lt;=3,3,$G55&lt;=3.5,3.5,$G55&lt;=4,4)</f>
        <v>0.5</v>
      </c>
      <c r="J55" s="18" cm="1">
        <f t="array" ref="J55">_xlfn.IFS($H55&lt;=500,0.5,$H55&lt;=1000,1,$H55&lt;=1500,1.5,$H55&lt;=2000,2,$H55&lt;=2500,2.5,$H55&lt;=3000,3,$H55&lt;=3500,3.5,$H55&lt;=4000,4)*1000</f>
        <v>500</v>
      </c>
      <c r="K55" s="6" t="str">
        <f>UPPER(VLOOKUP(C55,'Zones Pincode_Company X'!B:C,2,FALSE))</f>
        <v>D</v>
      </c>
      <c r="L55" s="18">
        <f>VLOOKUP(K55,'Rates_Courier Company'!$B$7:$C$12,2,0)</f>
        <v>45.4</v>
      </c>
      <c r="M55" s="18">
        <f>VLOOKUP(K55,'Rates_Courier Company'!$B$15:$C$20,2,FALSE)*(I55/0.5-1)</f>
        <v>0</v>
      </c>
      <c r="N55" s="6">
        <f>IF(F55="Yes",VLOOKUP(K55,'Rates_Courier Company'!$F$7:$G$12,2,0),0)</f>
        <v>0</v>
      </c>
      <c r="O55" s="6">
        <f>IF(F55="Yes",VLOOKUP(K55,'Rates_Courier Company'!$F$15:$G$20,2,0),0)*(I55/0.5 -1)</f>
        <v>0</v>
      </c>
      <c r="P55" s="18">
        <f t="shared" si="2"/>
        <v>45.4</v>
      </c>
      <c r="Q55" s="18">
        <f>VLOOKUP(A55,'Invoice_Courier Company'!B:C,2,0)</f>
        <v>0.67</v>
      </c>
      <c r="R55" s="18">
        <f t="shared" si="3"/>
        <v>1</v>
      </c>
      <c r="S55" s="6" t="str">
        <f>UPPER(VLOOKUP(A55,'Invoice_Courier Company'!B:G,5,FALSE))</f>
        <v>D</v>
      </c>
      <c r="T55" s="18">
        <f>VLOOKUP(A55,'Invoice_Courier Company'!B:H,7,0)</f>
        <v>90.2</v>
      </c>
      <c r="U55" s="18">
        <f t="shared" si="4"/>
        <v>-44.800000000000004</v>
      </c>
      <c r="V55" s="32">
        <f t="shared" si="5"/>
        <v>-0.98678414096916311</v>
      </c>
      <c r="W55" s="18">
        <f t="shared" si="6"/>
        <v>45.4</v>
      </c>
      <c r="X55" s="6">
        <f t="shared" si="7"/>
        <v>0</v>
      </c>
    </row>
    <row r="56" spans="1:24" x14ac:dyDescent="0.3">
      <c r="A56" s="7">
        <v>2001807362</v>
      </c>
      <c r="B56" s="7">
        <v>1091117324394</v>
      </c>
      <c r="C56" s="6">
        <f>VLOOKUP(A56,'Invoice_Courier Company'!B:E,4,FALSE)</f>
        <v>452018</v>
      </c>
      <c r="D56" s="6" t="str">
        <f>VLOOKUP(A56,'Invoice_Courier Company'!B:G,6,FALSE)</f>
        <v>Forward charges</v>
      </c>
      <c r="E56" s="6" t="str">
        <f t="shared" si="0"/>
        <v>Yes</v>
      </c>
      <c r="F56" s="6" t="str">
        <f t="shared" si="1"/>
        <v>No</v>
      </c>
      <c r="G56" s="18">
        <f>SUMIFS('Order Report_Company X'!E:E,'Order Report_Company X'!A:A,A56)/1000</f>
        <v>2.016</v>
      </c>
      <c r="H56" s="18">
        <f>SUMIFS('Order Report_Company X'!E:E,'Order Report_Company X'!A:A,'Order Level Calculation_Company'!A56)</f>
        <v>2016</v>
      </c>
      <c r="I56" s="18" cm="1">
        <f t="array" ref="I56">_xlfn.IFS($G56&lt;=0.5,0.5,$G56&lt;=1,1,$G56&lt;=1.5,1.5,$G56&lt;=2,2,$G56&lt;=2.5,2.5,$G56&lt;=3,3,$G56&lt;=3.5,3.5,$G56&lt;=4,4)</f>
        <v>2.5</v>
      </c>
      <c r="J56" s="18" cm="1">
        <f t="array" ref="J56">_xlfn.IFS($H56&lt;=500,0.5,$H56&lt;=1000,1,$H56&lt;=1500,1.5,$H56&lt;=2000,2,$H56&lt;=2500,2.5,$H56&lt;=3000,3,$H56&lt;=3500,3.5,$H56&lt;=4000,4)*1000</f>
        <v>2500</v>
      </c>
      <c r="K56" s="6" t="str">
        <f>UPPER(VLOOKUP(C56,'Zones Pincode_Company X'!B:C,2,FALSE))</f>
        <v>D</v>
      </c>
      <c r="L56" s="18">
        <f>VLOOKUP(K56,'Rates_Courier Company'!$B$7:$C$12,2,0)</f>
        <v>45.4</v>
      </c>
      <c r="M56" s="18">
        <f>VLOOKUP(K56,'Rates_Courier Company'!$B$15:$C$20,2,FALSE)*(I56/0.5-1)</f>
        <v>179.2</v>
      </c>
      <c r="N56" s="6">
        <f>IF(F56="Yes",VLOOKUP(K56,'Rates_Courier Company'!$F$7:$G$12,2,0),0)</f>
        <v>0</v>
      </c>
      <c r="O56" s="6">
        <f>IF(F56="Yes",VLOOKUP(K56,'Rates_Courier Company'!$F$15:$G$20,2,0),0)*(I56/0.5 -1)</f>
        <v>0</v>
      </c>
      <c r="P56" s="18">
        <f t="shared" si="2"/>
        <v>224.6</v>
      </c>
      <c r="Q56" s="18">
        <f>VLOOKUP(A56,'Invoice_Courier Company'!B:C,2,0)</f>
        <v>2</v>
      </c>
      <c r="R56" s="18">
        <f t="shared" si="3"/>
        <v>2</v>
      </c>
      <c r="S56" s="6" t="str">
        <f>UPPER(VLOOKUP(A56,'Invoice_Courier Company'!B:G,5,FALSE))</f>
        <v>D</v>
      </c>
      <c r="T56" s="18">
        <f>VLOOKUP(A56,'Invoice_Courier Company'!B:H,7,0)</f>
        <v>179.8</v>
      </c>
      <c r="U56" s="18">
        <f t="shared" si="4"/>
        <v>44.799999999999983</v>
      </c>
      <c r="V56" s="32">
        <f t="shared" si="5"/>
        <v>0.19946571682991979</v>
      </c>
      <c r="W56" s="18">
        <f t="shared" si="6"/>
        <v>224.6</v>
      </c>
      <c r="X56" s="6">
        <f t="shared" si="7"/>
        <v>0</v>
      </c>
    </row>
    <row r="57" spans="1:24" x14ac:dyDescent="0.3">
      <c r="A57" s="7">
        <v>2001807415</v>
      </c>
      <c r="B57" s="7">
        <v>1091117325094</v>
      </c>
      <c r="C57" s="6">
        <f>VLOOKUP(A57,'Invoice_Courier Company'!B:E,4,FALSE)</f>
        <v>208001</v>
      </c>
      <c r="D57" s="6" t="str">
        <f>VLOOKUP(A57,'Invoice_Courier Company'!B:G,6,FALSE)</f>
        <v>Forward charges</v>
      </c>
      <c r="E57" s="6" t="str">
        <f t="shared" si="0"/>
        <v>Yes</v>
      </c>
      <c r="F57" s="6" t="str">
        <f t="shared" si="1"/>
        <v>No</v>
      </c>
      <c r="G57" s="18">
        <f>SUMIFS('Order Report_Company X'!E:E,'Order Report_Company X'!A:A,A57)/1000</f>
        <v>1.048</v>
      </c>
      <c r="H57" s="18">
        <f>SUMIFS('Order Report_Company X'!E:E,'Order Report_Company X'!A:A,'Order Level Calculation_Company'!A57)</f>
        <v>1048</v>
      </c>
      <c r="I57" s="18" cm="1">
        <f t="array" ref="I57">_xlfn.IFS($G57&lt;=0.5,0.5,$G57&lt;=1,1,$G57&lt;=1.5,1.5,$G57&lt;=2,2,$G57&lt;=2.5,2.5,$G57&lt;=3,3,$G57&lt;=3.5,3.5,$G57&lt;=4,4)</f>
        <v>1.5</v>
      </c>
      <c r="J57" s="18" cm="1">
        <f t="array" ref="J57">_xlfn.IFS($H57&lt;=500,0.5,$H57&lt;=1000,1,$H57&lt;=1500,1.5,$H57&lt;=2000,2,$H57&lt;=2500,2.5,$H57&lt;=3000,3,$H57&lt;=3500,3.5,$H57&lt;=4000,4)*1000</f>
        <v>1500</v>
      </c>
      <c r="K57" s="6" t="str">
        <f>UPPER(VLOOKUP(C57,'Zones Pincode_Company X'!B:C,2,FALSE))</f>
        <v>B</v>
      </c>
      <c r="L57" s="18">
        <f>VLOOKUP(K57,'Rates_Courier Company'!$B$7:$C$12,2,0)</f>
        <v>33</v>
      </c>
      <c r="M57" s="18">
        <f>VLOOKUP(K57,'Rates_Courier Company'!$B$15:$C$20,2,FALSE)*(I57/0.5-1)</f>
        <v>56.6</v>
      </c>
      <c r="N57" s="6">
        <f>IF(F57="Yes",VLOOKUP(K57,'Rates_Courier Company'!$F$7:$G$12,2,0),0)</f>
        <v>0</v>
      </c>
      <c r="O57" s="6">
        <f>IF(F57="Yes",VLOOKUP(K57,'Rates_Courier Company'!$F$15:$G$20,2,0),0)*(I57/0.5 -1)</f>
        <v>0</v>
      </c>
      <c r="P57" s="18">
        <f t="shared" si="2"/>
        <v>89.6</v>
      </c>
      <c r="Q57" s="18">
        <f>VLOOKUP(A57,'Invoice_Courier Company'!B:C,2,0)</f>
        <v>1</v>
      </c>
      <c r="R57" s="18">
        <f t="shared" si="3"/>
        <v>1</v>
      </c>
      <c r="S57" s="6" t="str">
        <f>UPPER(VLOOKUP(A57,'Invoice_Courier Company'!B:G,5,FALSE))</f>
        <v>B</v>
      </c>
      <c r="T57" s="18">
        <f>VLOOKUP(A57,'Invoice_Courier Company'!B:H,7,0)</f>
        <v>61.3</v>
      </c>
      <c r="U57" s="18">
        <f t="shared" si="4"/>
        <v>28.299999999999997</v>
      </c>
      <c r="V57" s="32">
        <f t="shared" si="5"/>
        <v>0.3158482142857143</v>
      </c>
      <c r="W57" s="18">
        <f t="shared" si="6"/>
        <v>89.6</v>
      </c>
      <c r="X57" s="6">
        <f t="shared" si="7"/>
        <v>0</v>
      </c>
    </row>
    <row r="58" spans="1:24" x14ac:dyDescent="0.3">
      <c r="A58" s="7">
        <v>2001809592</v>
      </c>
      <c r="B58" s="7">
        <v>1091117616121</v>
      </c>
      <c r="C58" s="6">
        <f>VLOOKUP(A58,'Invoice_Courier Company'!B:E,4,FALSE)</f>
        <v>244713</v>
      </c>
      <c r="D58" s="6" t="str">
        <f>VLOOKUP(A58,'Invoice_Courier Company'!B:G,6,FALSE)</f>
        <v>Forward charges</v>
      </c>
      <c r="E58" s="6" t="str">
        <f t="shared" si="0"/>
        <v>Yes</v>
      </c>
      <c r="F58" s="6" t="str">
        <f t="shared" si="1"/>
        <v>No</v>
      </c>
      <c r="G58" s="18">
        <f>SUMIFS('Order Report_Company X'!E:E,'Order Report_Company X'!A:A,A58)/1000</f>
        <v>1.5049999999999999</v>
      </c>
      <c r="H58" s="18">
        <f>SUMIFS('Order Report_Company X'!E:E,'Order Report_Company X'!A:A,'Order Level Calculation_Company'!A58)</f>
        <v>1505</v>
      </c>
      <c r="I58" s="18" cm="1">
        <f t="array" ref="I58">_xlfn.IFS($G58&lt;=0.5,0.5,$G58&lt;=1,1,$G58&lt;=1.5,1.5,$G58&lt;=2,2,$G58&lt;=2.5,2.5,$G58&lt;=3,3,$G58&lt;=3.5,3.5,$G58&lt;=4,4)</f>
        <v>2</v>
      </c>
      <c r="J58" s="18" cm="1">
        <f t="array" ref="J58">_xlfn.IFS($H58&lt;=500,0.5,$H58&lt;=1000,1,$H58&lt;=1500,1.5,$H58&lt;=2000,2,$H58&lt;=2500,2.5,$H58&lt;=3000,3,$H58&lt;=3500,3.5,$H58&lt;=4000,4)*1000</f>
        <v>2000</v>
      </c>
      <c r="K58" s="6" t="str">
        <f>UPPER(VLOOKUP(C58,'Zones Pincode_Company X'!B:C,2,FALSE))</f>
        <v>B</v>
      </c>
      <c r="L58" s="18">
        <f>VLOOKUP(K58,'Rates_Courier Company'!$B$7:$C$12,2,0)</f>
        <v>33</v>
      </c>
      <c r="M58" s="18">
        <f>VLOOKUP(K58,'Rates_Courier Company'!$B$15:$C$20,2,FALSE)*(I58/0.5-1)</f>
        <v>84.9</v>
      </c>
      <c r="N58" s="6">
        <f>IF(F58="Yes",VLOOKUP(K58,'Rates_Courier Company'!$F$7:$G$12,2,0),0)</f>
        <v>0</v>
      </c>
      <c r="O58" s="6">
        <f>IF(F58="Yes",VLOOKUP(K58,'Rates_Courier Company'!$F$15:$G$20,2,0),0)*(I58/0.5 -1)</f>
        <v>0</v>
      </c>
      <c r="P58" s="18">
        <f t="shared" si="2"/>
        <v>117.9</v>
      </c>
      <c r="Q58" s="18">
        <f>VLOOKUP(A58,'Invoice_Courier Company'!B:C,2,0)</f>
        <v>1.5</v>
      </c>
      <c r="R58" s="18">
        <f t="shared" si="3"/>
        <v>1.5</v>
      </c>
      <c r="S58" s="6" t="str">
        <f>UPPER(VLOOKUP(A58,'Invoice_Courier Company'!B:G,5,FALSE))</f>
        <v>B</v>
      </c>
      <c r="T58" s="18">
        <f>VLOOKUP(A58,'Invoice_Courier Company'!B:H,7,0)</f>
        <v>89.6</v>
      </c>
      <c r="U58" s="18">
        <f t="shared" si="4"/>
        <v>28.300000000000011</v>
      </c>
      <c r="V58" s="32">
        <f t="shared" si="5"/>
        <v>0.24003392705682791</v>
      </c>
      <c r="W58" s="18">
        <f t="shared" si="6"/>
        <v>117.9</v>
      </c>
      <c r="X58" s="6">
        <f t="shared" si="7"/>
        <v>0</v>
      </c>
    </row>
    <row r="59" spans="1:24" x14ac:dyDescent="0.3">
      <c r="A59" s="7">
        <v>2001809794</v>
      </c>
      <c r="B59" s="7">
        <v>1091117795531</v>
      </c>
      <c r="C59" s="6">
        <f>VLOOKUP(A59,'Invoice_Courier Company'!B:E,4,FALSE)</f>
        <v>580007</v>
      </c>
      <c r="D59" s="6" t="str">
        <f>VLOOKUP(A59,'Invoice_Courier Company'!B:G,6,FALSE)</f>
        <v>Forward charges</v>
      </c>
      <c r="E59" s="6" t="str">
        <f t="shared" si="0"/>
        <v>Yes</v>
      </c>
      <c r="F59" s="6" t="str">
        <f t="shared" si="1"/>
        <v>No</v>
      </c>
      <c r="G59" s="18">
        <f>SUMIFS('Order Report_Company X'!E:E,'Order Report_Company X'!A:A,A59)/1000</f>
        <v>1.5169999999999999</v>
      </c>
      <c r="H59" s="18">
        <f>SUMIFS('Order Report_Company X'!E:E,'Order Report_Company X'!A:A,'Order Level Calculation_Company'!A59)</f>
        <v>1517</v>
      </c>
      <c r="I59" s="18" cm="1">
        <f t="array" ref="I59">_xlfn.IFS($G59&lt;=0.5,0.5,$G59&lt;=1,1,$G59&lt;=1.5,1.5,$G59&lt;=2,2,$G59&lt;=2.5,2.5,$G59&lt;=3,3,$G59&lt;=3.5,3.5,$G59&lt;=4,4)</f>
        <v>2</v>
      </c>
      <c r="J59" s="18" cm="1">
        <f t="array" ref="J59">_xlfn.IFS($H59&lt;=500,0.5,$H59&lt;=1000,1,$H59&lt;=1500,1.5,$H59&lt;=2000,2,$H59&lt;=2500,2.5,$H59&lt;=3000,3,$H59&lt;=3500,3.5,$H59&lt;=4000,4)*1000</f>
        <v>2000</v>
      </c>
      <c r="K59" s="6" t="str">
        <f>UPPER(VLOOKUP(C59,'Zones Pincode_Company X'!B:C,2,FALSE))</f>
        <v>D</v>
      </c>
      <c r="L59" s="18">
        <f>VLOOKUP(K59,'Rates_Courier Company'!$B$7:$C$12,2,0)</f>
        <v>45.4</v>
      </c>
      <c r="M59" s="18">
        <f>VLOOKUP(K59,'Rates_Courier Company'!$B$15:$C$20,2,FALSE)*(I59/0.5-1)</f>
        <v>134.39999999999998</v>
      </c>
      <c r="N59" s="6">
        <f>IF(F59="Yes",VLOOKUP(K59,'Rates_Courier Company'!$F$7:$G$12,2,0),0)</f>
        <v>0</v>
      </c>
      <c r="O59" s="6">
        <f>IF(F59="Yes",VLOOKUP(K59,'Rates_Courier Company'!$F$15:$G$20,2,0),0)*(I59/0.5 -1)</f>
        <v>0</v>
      </c>
      <c r="P59" s="18">
        <f t="shared" si="2"/>
        <v>179.79999999999998</v>
      </c>
      <c r="Q59" s="18">
        <f>VLOOKUP(A59,'Invoice_Courier Company'!B:C,2,0)</f>
        <v>1.5</v>
      </c>
      <c r="R59" s="18">
        <f t="shared" si="3"/>
        <v>1.5</v>
      </c>
      <c r="S59" s="6" t="str">
        <f>UPPER(VLOOKUP(A59,'Invoice_Courier Company'!B:G,5,FALSE))</f>
        <v>D</v>
      </c>
      <c r="T59" s="18">
        <f>VLOOKUP(A59,'Invoice_Courier Company'!B:H,7,0)</f>
        <v>135</v>
      </c>
      <c r="U59" s="18">
        <f t="shared" si="4"/>
        <v>44.799999999999983</v>
      </c>
      <c r="V59" s="32">
        <f t="shared" si="5"/>
        <v>0.2491657397107897</v>
      </c>
      <c r="W59" s="18">
        <f t="shared" si="6"/>
        <v>179.79999999999998</v>
      </c>
      <c r="X59" s="6">
        <f t="shared" si="7"/>
        <v>0</v>
      </c>
    </row>
    <row r="60" spans="1:24" x14ac:dyDescent="0.3">
      <c r="A60" s="7">
        <v>2001809820</v>
      </c>
      <c r="B60" s="7">
        <v>1091117795623</v>
      </c>
      <c r="C60" s="6">
        <f>VLOOKUP(A60,'Invoice_Courier Company'!B:E,4,FALSE)</f>
        <v>360005</v>
      </c>
      <c r="D60" s="6" t="str">
        <f>VLOOKUP(A60,'Invoice_Courier Company'!B:G,6,FALSE)</f>
        <v>Forward charges</v>
      </c>
      <c r="E60" s="6" t="str">
        <f t="shared" si="0"/>
        <v>Yes</v>
      </c>
      <c r="F60" s="6" t="str">
        <f t="shared" si="1"/>
        <v>No</v>
      </c>
      <c r="G60" s="18">
        <f>SUMIFS('Order Report_Company X'!E:E,'Order Report_Company X'!A:A,A60)/1000</f>
        <v>3.08</v>
      </c>
      <c r="H60" s="18">
        <f>SUMIFS('Order Report_Company X'!E:E,'Order Report_Company X'!A:A,'Order Level Calculation_Company'!A60)</f>
        <v>3080</v>
      </c>
      <c r="I60" s="18" cm="1">
        <f t="array" ref="I60">_xlfn.IFS($G60&lt;=0.5,0.5,$G60&lt;=1,1,$G60&lt;=1.5,1.5,$G60&lt;=2,2,$G60&lt;=2.5,2.5,$G60&lt;=3,3,$G60&lt;=3.5,3.5,$G60&lt;=4,4)</f>
        <v>3.5</v>
      </c>
      <c r="J60" s="18" cm="1">
        <f t="array" ref="J60">_xlfn.IFS($H60&lt;=500,0.5,$H60&lt;=1000,1,$H60&lt;=1500,1.5,$H60&lt;=2000,2,$H60&lt;=2500,2.5,$H60&lt;=3000,3,$H60&lt;=3500,3.5,$H60&lt;=4000,4)*1000</f>
        <v>3500</v>
      </c>
      <c r="K60" s="6" t="str">
        <f>UPPER(VLOOKUP(C60,'Zones Pincode_Company X'!B:C,2,FALSE))</f>
        <v>D</v>
      </c>
      <c r="L60" s="18">
        <f>VLOOKUP(K60,'Rates_Courier Company'!$B$7:$C$12,2,0)</f>
        <v>45.4</v>
      </c>
      <c r="M60" s="18">
        <f>VLOOKUP(K60,'Rates_Courier Company'!$B$15:$C$20,2,FALSE)*(I60/0.5-1)</f>
        <v>268.79999999999995</v>
      </c>
      <c r="N60" s="6">
        <f>IF(F60="Yes",VLOOKUP(K60,'Rates_Courier Company'!$F$7:$G$12,2,0),0)</f>
        <v>0</v>
      </c>
      <c r="O60" s="6">
        <f>IF(F60="Yes",VLOOKUP(K60,'Rates_Courier Company'!$F$15:$G$20,2,0),0)*(I60/0.5 -1)</f>
        <v>0</v>
      </c>
      <c r="P60" s="18">
        <f t="shared" si="2"/>
        <v>314.19999999999993</v>
      </c>
      <c r="Q60" s="18">
        <f>VLOOKUP(A60,'Invoice_Courier Company'!B:C,2,0)</f>
        <v>3</v>
      </c>
      <c r="R60" s="18">
        <f t="shared" si="3"/>
        <v>3</v>
      </c>
      <c r="S60" s="6" t="str">
        <f>UPPER(VLOOKUP(A60,'Invoice_Courier Company'!B:G,5,FALSE))</f>
        <v>D</v>
      </c>
      <c r="T60" s="18">
        <f>VLOOKUP(A60,'Invoice_Courier Company'!B:H,7,0)</f>
        <v>269.39999999999998</v>
      </c>
      <c r="U60" s="18">
        <f t="shared" si="4"/>
        <v>44.799999999999955</v>
      </c>
      <c r="V60" s="32">
        <f t="shared" si="5"/>
        <v>0.14258434118395916</v>
      </c>
      <c r="W60" s="18">
        <f t="shared" si="6"/>
        <v>314.19999999999993</v>
      </c>
      <c r="X60" s="6">
        <f t="shared" si="7"/>
        <v>0</v>
      </c>
    </row>
    <row r="61" spans="1:24" x14ac:dyDescent="0.3">
      <c r="A61" s="7">
        <v>2001806471</v>
      </c>
      <c r="B61" s="7">
        <v>1091117223351</v>
      </c>
      <c r="C61" s="6">
        <f>VLOOKUP(A61,'Invoice_Courier Company'!B:E,4,FALSE)</f>
        <v>313027</v>
      </c>
      <c r="D61" s="6" t="str">
        <f>VLOOKUP(A61,'Invoice_Courier Company'!B:G,6,FALSE)</f>
        <v>Forward charges</v>
      </c>
      <c r="E61" s="6" t="str">
        <f t="shared" si="0"/>
        <v>Yes</v>
      </c>
      <c r="F61" s="6" t="str">
        <f t="shared" si="1"/>
        <v>No</v>
      </c>
      <c r="G61" s="18">
        <f>SUMIFS('Order Report_Company X'!E:E,'Order Report_Company X'!A:A,A61)/1000</f>
        <v>1.621</v>
      </c>
      <c r="H61" s="18">
        <f>SUMIFS('Order Report_Company X'!E:E,'Order Report_Company X'!A:A,'Order Level Calculation_Company'!A61)</f>
        <v>1621</v>
      </c>
      <c r="I61" s="18" cm="1">
        <f t="array" ref="I61">_xlfn.IFS($G61&lt;=0.5,0.5,$G61&lt;=1,1,$G61&lt;=1.5,1.5,$G61&lt;=2,2,$G61&lt;=2.5,2.5,$G61&lt;=3,3,$G61&lt;=3.5,3.5,$G61&lt;=4,4)</f>
        <v>2</v>
      </c>
      <c r="J61" s="18" cm="1">
        <f t="array" ref="J61">_xlfn.IFS($H61&lt;=500,0.5,$H61&lt;=1000,1,$H61&lt;=1500,1.5,$H61&lt;=2000,2,$H61&lt;=2500,2.5,$H61&lt;=3000,3,$H61&lt;=3500,3.5,$H61&lt;=4000,4)*1000</f>
        <v>2000</v>
      </c>
      <c r="K61" s="6" t="str">
        <f>UPPER(VLOOKUP(C61,'Zones Pincode_Company X'!B:C,2,FALSE))</f>
        <v>B</v>
      </c>
      <c r="L61" s="18">
        <f>VLOOKUP(K61,'Rates_Courier Company'!$B$7:$C$12,2,0)</f>
        <v>33</v>
      </c>
      <c r="M61" s="18">
        <f>VLOOKUP(K61,'Rates_Courier Company'!$B$15:$C$20,2,FALSE)*(I61/0.5-1)</f>
        <v>84.9</v>
      </c>
      <c r="N61" s="6">
        <f>IF(F61="Yes",VLOOKUP(K61,'Rates_Courier Company'!$F$7:$G$12,2,0),0)</f>
        <v>0</v>
      </c>
      <c r="O61" s="6">
        <f>IF(F61="Yes",VLOOKUP(K61,'Rates_Courier Company'!$F$15:$G$20,2,0),0)*(I61/0.5 -1)</f>
        <v>0</v>
      </c>
      <c r="P61" s="18">
        <f t="shared" si="2"/>
        <v>117.9</v>
      </c>
      <c r="Q61" s="18">
        <f>VLOOKUP(A61,'Invoice_Courier Company'!B:C,2,0)</f>
        <v>1.7</v>
      </c>
      <c r="R61" s="18">
        <f t="shared" si="3"/>
        <v>2</v>
      </c>
      <c r="S61" s="6" t="str">
        <f>UPPER(VLOOKUP(A61,'Invoice_Courier Company'!B:G,5,FALSE))</f>
        <v>D</v>
      </c>
      <c r="T61" s="18">
        <f>VLOOKUP(A61,'Invoice_Courier Company'!B:H,7,0)</f>
        <v>179.8</v>
      </c>
      <c r="U61" s="18">
        <f t="shared" si="4"/>
        <v>-61.900000000000006</v>
      </c>
      <c r="V61" s="32">
        <f t="shared" si="5"/>
        <v>-0.52502120441051736</v>
      </c>
      <c r="W61" s="18">
        <f t="shared" si="6"/>
        <v>117.9</v>
      </c>
      <c r="X61" s="6">
        <f t="shared" si="7"/>
        <v>0</v>
      </c>
    </row>
    <row r="62" spans="1:24" x14ac:dyDescent="0.3">
      <c r="A62" s="7">
        <v>2001807241</v>
      </c>
      <c r="B62" s="7">
        <v>1091117324011</v>
      </c>
      <c r="C62" s="6">
        <f>VLOOKUP(A62,'Invoice_Courier Company'!B:E,4,FALSE)</f>
        <v>341001</v>
      </c>
      <c r="D62" s="6" t="str">
        <f>VLOOKUP(A62,'Invoice_Courier Company'!B:G,6,FALSE)</f>
        <v>Forward charges</v>
      </c>
      <c r="E62" s="6" t="str">
        <f t="shared" si="0"/>
        <v>Yes</v>
      </c>
      <c r="F62" s="6" t="str">
        <f t="shared" si="1"/>
        <v>No</v>
      </c>
      <c r="G62" s="18">
        <f>SUMIFS('Order Report_Company X'!E:E,'Order Report_Company X'!A:A,A62)/1000</f>
        <v>0.60699999999999998</v>
      </c>
      <c r="H62" s="18">
        <f>SUMIFS('Order Report_Company X'!E:E,'Order Report_Company X'!A:A,'Order Level Calculation_Company'!A62)</f>
        <v>607</v>
      </c>
      <c r="I62" s="18" cm="1">
        <f t="array" ref="I62">_xlfn.IFS($G62&lt;=0.5,0.5,$G62&lt;=1,1,$G62&lt;=1.5,1.5,$G62&lt;=2,2,$G62&lt;=2.5,2.5,$G62&lt;=3,3,$G62&lt;=3.5,3.5,$G62&lt;=4,4)</f>
        <v>1</v>
      </c>
      <c r="J62" s="18" cm="1">
        <f t="array" ref="J62">_xlfn.IFS($H62&lt;=500,0.5,$H62&lt;=1000,1,$H62&lt;=1500,1.5,$H62&lt;=2000,2,$H62&lt;=2500,2.5,$H62&lt;=3000,3,$H62&lt;=3500,3.5,$H62&lt;=4000,4)*1000</f>
        <v>1000</v>
      </c>
      <c r="K62" s="6" t="str">
        <f>UPPER(VLOOKUP(C62,'Zones Pincode_Company X'!B:C,2,FALSE))</f>
        <v>B</v>
      </c>
      <c r="L62" s="18">
        <f>VLOOKUP(K62,'Rates_Courier Company'!$B$7:$C$12,2,0)</f>
        <v>33</v>
      </c>
      <c r="M62" s="18">
        <f>VLOOKUP(K62,'Rates_Courier Company'!$B$15:$C$20,2,FALSE)*(I62/0.5-1)</f>
        <v>28.3</v>
      </c>
      <c r="N62" s="6">
        <f>IF(F62="Yes",VLOOKUP(K62,'Rates_Courier Company'!$F$7:$G$12,2,0),0)</f>
        <v>0</v>
      </c>
      <c r="O62" s="6">
        <f>IF(F62="Yes",VLOOKUP(K62,'Rates_Courier Company'!$F$15:$G$20,2,0),0)*(I62/0.5 -1)</f>
        <v>0</v>
      </c>
      <c r="P62" s="18">
        <f t="shared" si="2"/>
        <v>61.3</v>
      </c>
      <c r="Q62" s="18">
        <f>VLOOKUP(A62,'Invoice_Courier Company'!B:C,2,0)</f>
        <v>0.79</v>
      </c>
      <c r="R62" s="18">
        <f t="shared" si="3"/>
        <v>1</v>
      </c>
      <c r="S62" s="6" t="str">
        <f>UPPER(VLOOKUP(A62,'Invoice_Courier Company'!B:G,5,FALSE))</f>
        <v>D</v>
      </c>
      <c r="T62" s="18">
        <f>VLOOKUP(A62,'Invoice_Courier Company'!B:H,7,0)</f>
        <v>90.2</v>
      </c>
      <c r="U62" s="18">
        <f t="shared" si="4"/>
        <v>-28.900000000000006</v>
      </c>
      <c r="V62" s="32">
        <f t="shared" si="5"/>
        <v>-0.47145187601957594</v>
      </c>
      <c r="W62" s="18">
        <f t="shared" si="6"/>
        <v>61.3</v>
      </c>
      <c r="X62" s="6">
        <f t="shared" si="7"/>
        <v>0</v>
      </c>
    </row>
    <row r="63" spans="1:24" x14ac:dyDescent="0.3">
      <c r="A63" s="7">
        <v>2001807981</v>
      </c>
      <c r="B63" s="7">
        <v>1091117327570</v>
      </c>
      <c r="C63" s="6">
        <f>VLOOKUP(A63,'Invoice_Courier Company'!B:E,4,FALSE)</f>
        <v>332715</v>
      </c>
      <c r="D63" s="6" t="str">
        <f>VLOOKUP(A63,'Invoice_Courier Company'!B:G,6,FALSE)</f>
        <v>Forward charges</v>
      </c>
      <c r="E63" s="6" t="str">
        <f t="shared" si="0"/>
        <v>Yes</v>
      </c>
      <c r="F63" s="6" t="str">
        <f t="shared" si="1"/>
        <v>No</v>
      </c>
      <c r="G63" s="18">
        <f>SUMIFS('Order Report_Company X'!E:E,'Order Report_Company X'!A:A,A63)/1000</f>
        <v>0.5</v>
      </c>
      <c r="H63" s="18">
        <f>SUMIFS('Order Report_Company X'!E:E,'Order Report_Company X'!A:A,'Order Level Calculation_Company'!A63)</f>
        <v>500</v>
      </c>
      <c r="I63" s="18" cm="1">
        <f t="array" ref="I63">_xlfn.IFS($G63&lt;=0.5,0.5,$G63&lt;=1,1,$G63&lt;=1.5,1.5,$G63&lt;=2,2,$G63&lt;=2.5,2.5,$G63&lt;=3,3,$G63&lt;=3.5,3.5,$G63&lt;=4,4)</f>
        <v>0.5</v>
      </c>
      <c r="J63" s="18" cm="1">
        <f t="array" ref="J63">_xlfn.IFS($H63&lt;=500,0.5,$H63&lt;=1000,1,$H63&lt;=1500,1.5,$H63&lt;=2000,2,$H63&lt;=2500,2.5,$H63&lt;=3000,3,$H63&lt;=3500,3.5,$H63&lt;=4000,4)*1000</f>
        <v>500</v>
      </c>
      <c r="K63" s="6" t="str">
        <f>UPPER(VLOOKUP(C63,'Zones Pincode_Company X'!B:C,2,FALSE))</f>
        <v>B</v>
      </c>
      <c r="L63" s="18">
        <f>VLOOKUP(K63,'Rates_Courier Company'!$B$7:$C$12,2,0)</f>
        <v>33</v>
      </c>
      <c r="M63" s="18">
        <f>VLOOKUP(K63,'Rates_Courier Company'!$B$15:$C$20,2,FALSE)*(I63/0.5-1)</f>
        <v>0</v>
      </c>
      <c r="N63" s="6">
        <f>IF(F63="Yes",VLOOKUP(K63,'Rates_Courier Company'!$F$7:$G$12,2,0),0)</f>
        <v>0</v>
      </c>
      <c r="O63" s="6">
        <f>IF(F63="Yes",VLOOKUP(K63,'Rates_Courier Company'!$F$15:$G$20,2,0),0)*(I63/0.5 -1)</f>
        <v>0</v>
      </c>
      <c r="P63" s="18">
        <f t="shared" si="2"/>
        <v>33</v>
      </c>
      <c r="Q63" s="18">
        <f>VLOOKUP(A63,'Invoice_Courier Company'!B:C,2,0)</f>
        <v>0.5</v>
      </c>
      <c r="R63" s="18">
        <f t="shared" si="3"/>
        <v>0.5</v>
      </c>
      <c r="S63" s="6" t="str">
        <f>UPPER(VLOOKUP(A63,'Invoice_Courier Company'!B:G,5,FALSE))</f>
        <v>D</v>
      </c>
      <c r="T63" s="18">
        <f>VLOOKUP(A63,'Invoice_Courier Company'!B:H,7,0)</f>
        <v>45.4</v>
      </c>
      <c r="U63" s="18">
        <f t="shared" si="4"/>
        <v>-12.399999999999999</v>
      </c>
      <c r="V63" s="32">
        <f t="shared" si="5"/>
        <v>-0.37575757575757573</v>
      </c>
      <c r="W63" s="18">
        <f t="shared" si="6"/>
        <v>33</v>
      </c>
      <c r="X63" s="6">
        <f t="shared" si="7"/>
        <v>0</v>
      </c>
    </row>
    <row r="64" spans="1:24" x14ac:dyDescent="0.3">
      <c r="A64" s="7">
        <v>2001808286</v>
      </c>
      <c r="B64" s="7">
        <v>1091117435602</v>
      </c>
      <c r="C64" s="6">
        <f>VLOOKUP(A64,'Invoice_Courier Company'!B:E,4,FALSE)</f>
        <v>302031</v>
      </c>
      <c r="D64" s="6" t="str">
        <f>VLOOKUP(A64,'Invoice_Courier Company'!B:G,6,FALSE)</f>
        <v>Forward charges</v>
      </c>
      <c r="E64" s="6" t="str">
        <f t="shared" si="0"/>
        <v>Yes</v>
      </c>
      <c r="F64" s="6" t="str">
        <f t="shared" si="1"/>
        <v>No</v>
      </c>
      <c r="G64" s="18">
        <f>SUMIFS('Order Report_Company X'!E:E,'Order Report_Company X'!A:A,A64)/1000</f>
        <v>0.60099999999999998</v>
      </c>
      <c r="H64" s="18">
        <f>SUMIFS('Order Report_Company X'!E:E,'Order Report_Company X'!A:A,'Order Level Calculation_Company'!A64)</f>
        <v>601</v>
      </c>
      <c r="I64" s="18" cm="1">
        <f t="array" ref="I64">_xlfn.IFS($G64&lt;=0.5,0.5,$G64&lt;=1,1,$G64&lt;=1.5,1.5,$G64&lt;=2,2,$G64&lt;=2.5,2.5,$G64&lt;=3,3,$G64&lt;=3.5,3.5,$G64&lt;=4,4)</f>
        <v>1</v>
      </c>
      <c r="J64" s="18" cm="1">
        <f t="array" ref="J64">_xlfn.IFS($H64&lt;=500,0.5,$H64&lt;=1000,1,$H64&lt;=1500,1.5,$H64&lt;=2000,2,$H64&lt;=2500,2.5,$H64&lt;=3000,3,$H64&lt;=3500,3.5,$H64&lt;=4000,4)*1000</f>
        <v>1000</v>
      </c>
      <c r="K64" s="6" t="str">
        <f>UPPER(VLOOKUP(C64,'Zones Pincode_Company X'!B:C,2,FALSE))</f>
        <v>B</v>
      </c>
      <c r="L64" s="18">
        <f>VLOOKUP(K64,'Rates_Courier Company'!$B$7:$C$12,2,0)</f>
        <v>33</v>
      </c>
      <c r="M64" s="18">
        <f>VLOOKUP(K64,'Rates_Courier Company'!$B$15:$C$20,2,FALSE)*(I64/0.5-1)</f>
        <v>28.3</v>
      </c>
      <c r="N64" s="6">
        <f>IF(F64="Yes",VLOOKUP(K64,'Rates_Courier Company'!$F$7:$G$12,2,0),0)</f>
        <v>0</v>
      </c>
      <c r="O64" s="6">
        <f>IF(F64="Yes",VLOOKUP(K64,'Rates_Courier Company'!$F$15:$G$20,2,0),0)*(I64/0.5 -1)</f>
        <v>0</v>
      </c>
      <c r="P64" s="18">
        <f t="shared" si="2"/>
        <v>61.3</v>
      </c>
      <c r="Q64" s="18">
        <f>VLOOKUP(A64,'Invoice_Courier Company'!B:C,2,0)</f>
        <v>0.77</v>
      </c>
      <c r="R64" s="18">
        <f t="shared" si="3"/>
        <v>1</v>
      </c>
      <c r="S64" s="6" t="str">
        <f>UPPER(VLOOKUP(A64,'Invoice_Courier Company'!B:G,5,FALSE))</f>
        <v>D</v>
      </c>
      <c r="T64" s="18">
        <f>VLOOKUP(A64,'Invoice_Courier Company'!B:H,7,0)</f>
        <v>90.2</v>
      </c>
      <c r="U64" s="18">
        <f t="shared" si="4"/>
        <v>-28.900000000000006</v>
      </c>
      <c r="V64" s="32">
        <f t="shared" si="5"/>
        <v>-0.47145187601957594</v>
      </c>
      <c r="W64" s="18">
        <f t="shared" si="6"/>
        <v>61.3</v>
      </c>
      <c r="X64" s="6">
        <f t="shared" si="7"/>
        <v>0</v>
      </c>
    </row>
    <row r="65" spans="1:24" x14ac:dyDescent="0.3">
      <c r="A65" s="7">
        <v>2001808801</v>
      </c>
      <c r="B65" s="7">
        <v>1091117437680</v>
      </c>
      <c r="C65" s="6">
        <f>VLOOKUP(A65,'Invoice_Courier Company'!B:E,4,FALSE)</f>
        <v>335001</v>
      </c>
      <c r="D65" s="6" t="str">
        <f>VLOOKUP(A65,'Invoice_Courier Company'!B:G,6,FALSE)</f>
        <v>Forward charges</v>
      </c>
      <c r="E65" s="6" t="str">
        <f t="shared" si="0"/>
        <v>Yes</v>
      </c>
      <c r="F65" s="6" t="str">
        <f t="shared" si="1"/>
        <v>No</v>
      </c>
      <c r="G65" s="18">
        <f>SUMIFS('Order Report_Company X'!E:E,'Order Report_Company X'!A:A,A65)/1000</f>
        <v>0.73099999999999998</v>
      </c>
      <c r="H65" s="18">
        <f>SUMIFS('Order Report_Company X'!E:E,'Order Report_Company X'!A:A,'Order Level Calculation_Company'!A65)</f>
        <v>731</v>
      </c>
      <c r="I65" s="18" cm="1">
        <f t="array" ref="I65">_xlfn.IFS($G65&lt;=0.5,0.5,$G65&lt;=1,1,$G65&lt;=1.5,1.5,$G65&lt;=2,2,$G65&lt;=2.5,2.5,$G65&lt;=3,3,$G65&lt;=3.5,3.5,$G65&lt;=4,4)</f>
        <v>1</v>
      </c>
      <c r="J65" s="18" cm="1">
        <f t="array" ref="J65">_xlfn.IFS($H65&lt;=500,0.5,$H65&lt;=1000,1,$H65&lt;=1500,1.5,$H65&lt;=2000,2,$H65&lt;=2500,2.5,$H65&lt;=3000,3,$H65&lt;=3500,3.5,$H65&lt;=4000,4)*1000</f>
        <v>1000</v>
      </c>
      <c r="K65" s="6" t="str">
        <f>UPPER(VLOOKUP(C65,'Zones Pincode_Company X'!B:C,2,FALSE))</f>
        <v>B</v>
      </c>
      <c r="L65" s="18">
        <f>VLOOKUP(K65,'Rates_Courier Company'!$B$7:$C$12,2,0)</f>
        <v>33</v>
      </c>
      <c r="M65" s="18">
        <f>VLOOKUP(K65,'Rates_Courier Company'!$B$15:$C$20,2,FALSE)*(I65/0.5-1)</f>
        <v>28.3</v>
      </c>
      <c r="N65" s="6">
        <f>IF(F65="Yes",VLOOKUP(K65,'Rates_Courier Company'!$F$7:$G$12,2,0),0)</f>
        <v>0</v>
      </c>
      <c r="O65" s="6">
        <f>IF(F65="Yes",VLOOKUP(K65,'Rates_Courier Company'!$F$15:$G$20,2,0),0)*(I65/0.5 -1)</f>
        <v>0</v>
      </c>
      <c r="P65" s="18">
        <f t="shared" si="2"/>
        <v>61.3</v>
      </c>
      <c r="Q65" s="18">
        <f>VLOOKUP(A65,'Invoice_Courier Company'!B:C,2,0)</f>
        <v>0.8</v>
      </c>
      <c r="R65" s="18">
        <f t="shared" si="3"/>
        <v>1</v>
      </c>
      <c r="S65" s="6" t="str">
        <f>UPPER(VLOOKUP(A65,'Invoice_Courier Company'!B:G,5,FALSE))</f>
        <v>D</v>
      </c>
      <c r="T65" s="18">
        <f>VLOOKUP(A65,'Invoice_Courier Company'!B:H,7,0)</f>
        <v>90.2</v>
      </c>
      <c r="U65" s="18">
        <f t="shared" si="4"/>
        <v>-28.900000000000006</v>
      </c>
      <c r="V65" s="32">
        <f t="shared" si="5"/>
        <v>-0.47145187601957594</v>
      </c>
      <c r="W65" s="18">
        <f t="shared" si="6"/>
        <v>61.3</v>
      </c>
      <c r="X65" s="6">
        <f t="shared" si="7"/>
        <v>0</v>
      </c>
    </row>
    <row r="66" spans="1:24" x14ac:dyDescent="0.3">
      <c r="A66" s="7">
        <v>2001810104</v>
      </c>
      <c r="B66" s="7">
        <v>1091117804200</v>
      </c>
      <c r="C66" s="6">
        <f>VLOOKUP(A66,'Invoice_Courier Company'!B:E,4,FALSE)</f>
        <v>334004</v>
      </c>
      <c r="D66" s="6" t="str">
        <f>VLOOKUP(A66,'Invoice_Courier Company'!B:G,6,FALSE)</f>
        <v>Forward charges</v>
      </c>
      <c r="E66" s="6" t="str">
        <f t="shared" si="0"/>
        <v>Yes</v>
      </c>
      <c r="F66" s="6" t="str">
        <f t="shared" si="1"/>
        <v>No</v>
      </c>
      <c r="G66" s="18">
        <f>SUMIFS('Order Report_Company X'!E:E,'Order Report_Company X'!A:A,A66)/1000</f>
        <v>0.60099999999999998</v>
      </c>
      <c r="H66" s="18">
        <f>SUMIFS('Order Report_Company X'!E:E,'Order Report_Company X'!A:A,'Order Level Calculation_Company'!A66)</f>
        <v>601</v>
      </c>
      <c r="I66" s="18" cm="1">
        <f t="array" ref="I66">_xlfn.IFS($G66&lt;=0.5,0.5,$G66&lt;=1,1,$G66&lt;=1.5,1.5,$G66&lt;=2,2,$G66&lt;=2.5,2.5,$G66&lt;=3,3,$G66&lt;=3.5,3.5,$G66&lt;=4,4)</f>
        <v>1</v>
      </c>
      <c r="J66" s="18" cm="1">
        <f t="array" ref="J66">_xlfn.IFS($H66&lt;=500,0.5,$H66&lt;=1000,1,$H66&lt;=1500,1.5,$H66&lt;=2000,2,$H66&lt;=2500,2.5,$H66&lt;=3000,3,$H66&lt;=3500,3.5,$H66&lt;=4000,4)*1000</f>
        <v>1000</v>
      </c>
      <c r="K66" s="6" t="str">
        <f>UPPER(VLOOKUP(C66,'Zones Pincode_Company X'!B:C,2,FALSE))</f>
        <v>B</v>
      </c>
      <c r="L66" s="18">
        <f>VLOOKUP(K66,'Rates_Courier Company'!$B$7:$C$12,2,0)</f>
        <v>33</v>
      </c>
      <c r="M66" s="18">
        <f>VLOOKUP(K66,'Rates_Courier Company'!$B$15:$C$20,2,FALSE)*(I66/0.5-1)</f>
        <v>28.3</v>
      </c>
      <c r="N66" s="6">
        <f>IF(F66="Yes",VLOOKUP(K66,'Rates_Courier Company'!$F$7:$G$12,2,0),0)</f>
        <v>0</v>
      </c>
      <c r="O66" s="6">
        <f>IF(F66="Yes",VLOOKUP(K66,'Rates_Courier Company'!$F$15:$G$20,2,0),0)*(I66/0.5 -1)</f>
        <v>0</v>
      </c>
      <c r="P66" s="18">
        <f t="shared" si="2"/>
        <v>61.3</v>
      </c>
      <c r="Q66" s="18">
        <f>VLOOKUP(A66,'Invoice_Courier Company'!B:C,2,0)</f>
        <v>0.76</v>
      </c>
      <c r="R66" s="18">
        <f t="shared" si="3"/>
        <v>1</v>
      </c>
      <c r="S66" s="6" t="str">
        <f>UPPER(VLOOKUP(A66,'Invoice_Courier Company'!B:G,5,FALSE))</f>
        <v>D</v>
      </c>
      <c r="T66" s="18">
        <f>VLOOKUP(A66,'Invoice_Courier Company'!B:H,7,0)</f>
        <v>90.2</v>
      </c>
      <c r="U66" s="18">
        <f t="shared" si="4"/>
        <v>-28.900000000000006</v>
      </c>
      <c r="V66" s="32">
        <f t="shared" si="5"/>
        <v>-0.47145187601957594</v>
      </c>
      <c r="W66" s="18">
        <f t="shared" si="6"/>
        <v>61.3</v>
      </c>
      <c r="X66" s="6">
        <f t="shared" si="7"/>
        <v>0</v>
      </c>
    </row>
    <row r="67" spans="1:24" x14ac:dyDescent="0.3">
      <c r="A67" s="7">
        <v>2001811153</v>
      </c>
      <c r="B67" s="7">
        <v>1091117957533</v>
      </c>
      <c r="C67" s="6">
        <f>VLOOKUP(A67,'Invoice_Courier Company'!B:E,4,FALSE)</f>
        <v>321001</v>
      </c>
      <c r="D67" s="6" t="str">
        <f>VLOOKUP(A67,'Invoice_Courier Company'!B:G,6,FALSE)</f>
        <v>Forward charges</v>
      </c>
      <c r="E67" s="6" t="str">
        <f t="shared" ref="E67:E125" si="8">IF(D67="Forward charges","Yes","No")</f>
        <v>Yes</v>
      </c>
      <c r="F67" s="6" t="str">
        <f t="shared" ref="F67:F125" si="9">IF(D67="Forward and RTO charges","Yes","No")</f>
        <v>No</v>
      </c>
      <c r="G67" s="18">
        <f>SUMIFS('Order Report_Company X'!E:E,'Order Report_Company X'!A:A,A67)/1000</f>
        <v>0.60699999999999998</v>
      </c>
      <c r="H67" s="18">
        <f>SUMIFS('Order Report_Company X'!E:E,'Order Report_Company X'!A:A,'Order Level Calculation_Company'!A67)</f>
        <v>607</v>
      </c>
      <c r="I67" s="18" cm="1">
        <f t="array" ref="I67">_xlfn.IFS($G67&lt;=0.5,0.5,$G67&lt;=1,1,$G67&lt;=1.5,1.5,$G67&lt;=2,2,$G67&lt;=2.5,2.5,$G67&lt;=3,3,$G67&lt;=3.5,3.5,$G67&lt;=4,4)</f>
        <v>1</v>
      </c>
      <c r="J67" s="18" cm="1">
        <f t="array" ref="J67">_xlfn.IFS($H67&lt;=500,0.5,$H67&lt;=1000,1,$H67&lt;=1500,1.5,$H67&lt;=2000,2,$H67&lt;=2500,2.5,$H67&lt;=3000,3,$H67&lt;=3500,3.5,$H67&lt;=4000,4)*1000</f>
        <v>1000</v>
      </c>
      <c r="K67" s="6" t="str">
        <f>UPPER(VLOOKUP(C67,'Zones Pincode_Company X'!B:C,2,FALSE))</f>
        <v>B</v>
      </c>
      <c r="L67" s="18">
        <f>VLOOKUP(K67,'Rates_Courier Company'!$B$7:$C$12,2,0)</f>
        <v>33</v>
      </c>
      <c r="M67" s="18">
        <f>VLOOKUP(K67,'Rates_Courier Company'!$B$15:$C$20,2,FALSE)*(I67/0.5-1)</f>
        <v>28.3</v>
      </c>
      <c r="N67" s="6">
        <f>IF(F67="Yes",VLOOKUP(K67,'Rates_Courier Company'!$F$7:$G$12,2,0),0)</f>
        <v>0</v>
      </c>
      <c r="O67" s="6">
        <f>IF(F67="Yes",VLOOKUP(K67,'Rates_Courier Company'!$F$15:$G$20,2,0),0)*(I67/0.5 -1)</f>
        <v>0</v>
      </c>
      <c r="P67" s="18">
        <f t="shared" ref="P67:P125" si="10">L67+M67+N67+O67</f>
        <v>61.3</v>
      </c>
      <c r="Q67" s="18">
        <f>VLOOKUP(A67,'Invoice_Courier Company'!B:C,2,0)</f>
        <v>0.76</v>
      </c>
      <c r="R67" s="18">
        <f t="shared" ref="R67:R125" si="11">IF(Q67&lt;=0.5,0.5,IF(AND(Q67&gt;0.5,Q67&lt;=1),1,IF(AND(Q67&gt;1,Q67&lt;=1.5),1.5,IF(AND(Q67&gt;1.5,Q67&lt;=2),2,IF(AND(Q67&gt;2,Q67&lt;=2.5),2.5,3)))))</f>
        <v>1</v>
      </c>
      <c r="S67" s="6" t="str">
        <f>UPPER(VLOOKUP(A67,'Invoice_Courier Company'!B:G,5,FALSE))</f>
        <v>D</v>
      </c>
      <c r="T67" s="18">
        <f>VLOOKUP(A67,'Invoice_Courier Company'!B:H,7,0)</f>
        <v>90.2</v>
      </c>
      <c r="U67" s="18">
        <f t="shared" ref="U67:U125" si="12">P67-T67</f>
        <v>-28.900000000000006</v>
      </c>
      <c r="V67" s="32">
        <f t="shared" ref="V67:V125" si="13">U67/P67</f>
        <v>-0.47145187601957594</v>
      </c>
      <c r="W67" s="18">
        <f t="shared" ref="W67:W125" si="14">L67+M67</f>
        <v>61.3</v>
      </c>
      <c r="X67" s="6">
        <f t="shared" ref="X67:X125" si="15">N67+O67</f>
        <v>0</v>
      </c>
    </row>
    <row r="68" spans="1:24" x14ac:dyDescent="0.3">
      <c r="A68" s="7">
        <v>2001811229</v>
      </c>
      <c r="B68" s="7">
        <v>1091117957942</v>
      </c>
      <c r="C68" s="6">
        <f>VLOOKUP(A68,'Invoice_Courier Company'!B:E,4,FALSE)</f>
        <v>324001</v>
      </c>
      <c r="D68" s="6" t="str">
        <f>VLOOKUP(A68,'Invoice_Courier Company'!B:G,6,FALSE)</f>
        <v>Forward charges</v>
      </c>
      <c r="E68" s="6" t="str">
        <f t="shared" si="8"/>
        <v>Yes</v>
      </c>
      <c r="F68" s="6" t="str">
        <f t="shared" si="9"/>
        <v>No</v>
      </c>
      <c r="G68" s="18">
        <f>SUMIFS('Order Report_Company X'!E:E,'Order Report_Company X'!A:A,A68)/1000</f>
        <v>0.505</v>
      </c>
      <c r="H68" s="18">
        <f>SUMIFS('Order Report_Company X'!E:E,'Order Report_Company X'!A:A,'Order Level Calculation_Company'!A68)</f>
        <v>505</v>
      </c>
      <c r="I68" s="18" cm="1">
        <f t="array" ref="I68">_xlfn.IFS($G68&lt;=0.5,0.5,$G68&lt;=1,1,$G68&lt;=1.5,1.5,$G68&lt;=2,2,$G68&lt;=2.5,2.5,$G68&lt;=3,3,$G68&lt;=3.5,3.5,$G68&lt;=4,4)</f>
        <v>1</v>
      </c>
      <c r="J68" s="18" cm="1">
        <f t="array" ref="J68">_xlfn.IFS($H68&lt;=500,0.5,$H68&lt;=1000,1,$H68&lt;=1500,1.5,$H68&lt;=2000,2,$H68&lt;=2500,2.5,$H68&lt;=3000,3,$H68&lt;=3500,3.5,$H68&lt;=4000,4)*1000</f>
        <v>1000</v>
      </c>
      <c r="K68" s="6" t="str">
        <f>UPPER(VLOOKUP(C68,'Zones Pincode_Company X'!B:C,2,FALSE))</f>
        <v>B</v>
      </c>
      <c r="L68" s="18">
        <f>VLOOKUP(K68,'Rates_Courier Company'!$B$7:$C$12,2,0)</f>
        <v>33</v>
      </c>
      <c r="M68" s="18">
        <f>VLOOKUP(K68,'Rates_Courier Company'!$B$15:$C$20,2,FALSE)*(I68/0.5-1)</f>
        <v>28.3</v>
      </c>
      <c r="N68" s="6">
        <f>IF(F68="Yes",VLOOKUP(K68,'Rates_Courier Company'!$F$7:$G$12,2,0),0)</f>
        <v>0</v>
      </c>
      <c r="O68" s="6">
        <f>IF(F68="Yes",VLOOKUP(K68,'Rates_Courier Company'!$F$15:$G$20,2,0),0)*(I68/0.5 -1)</f>
        <v>0</v>
      </c>
      <c r="P68" s="18">
        <f t="shared" si="10"/>
        <v>61.3</v>
      </c>
      <c r="Q68" s="18">
        <f>VLOOKUP(A68,'Invoice_Courier Company'!B:C,2,0)</f>
        <v>0.6</v>
      </c>
      <c r="R68" s="18">
        <f t="shared" si="11"/>
        <v>1</v>
      </c>
      <c r="S68" s="6" t="str">
        <f>UPPER(VLOOKUP(A68,'Invoice_Courier Company'!B:G,5,FALSE))</f>
        <v>D</v>
      </c>
      <c r="T68" s="18">
        <f>VLOOKUP(A68,'Invoice_Courier Company'!B:H,7,0)</f>
        <v>90.2</v>
      </c>
      <c r="U68" s="18">
        <f t="shared" si="12"/>
        <v>-28.900000000000006</v>
      </c>
      <c r="V68" s="32">
        <f t="shared" si="13"/>
        <v>-0.47145187601957594</v>
      </c>
      <c r="W68" s="18">
        <f t="shared" si="14"/>
        <v>61.3</v>
      </c>
      <c r="X68" s="6">
        <f t="shared" si="15"/>
        <v>0</v>
      </c>
    </row>
    <row r="69" spans="1:24" x14ac:dyDescent="0.3">
      <c r="A69" s="7">
        <v>2001811363</v>
      </c>
      <c r="B69" s="7">
        <v>1091117958395</v>
      </c>
      <c r="C69" s="6">
        <f>VLOOKUP(A69,'Invoice_Courier Company'!B:E,4,FALSE)</f>
        <v>321608</v>
      </c>
      <c r="D69" s="6" t="str">
        <f>VLOOKUP(A69,'Invoice_Courier Company'!B:G,6,FALSE)</f>
        <v>Forward charges</v>
      </c>
      <c r="E69" s="6" t="str">
        <f t="shared" si="8"/>
        <v>Yes</v>
      </c>
      <c r="F69" s="6" t="str">
        <f t="shared" si="9"/>
        <v>No</v>
      </c>
      <c r="G69" s="18">
        <f>SUMIFS('Order Report_Company X'!E:E,'Order Report_Company X'!A:A,A69)/1000</f>
        <v>0.50800000000000001</v>
      </c>
      <c r="H69" s="18">
        <f>SUMIFS('Order Report_Company X'!E:E,'Order Report_Company X'!A:A,'Order Level Calculation_Company'!A69)</f>
        <v>508</v>
      </c>
      <c r="I69" s="18" cm="1">
        <f t="array" ref="I69">_xlfn.IFS($G69&lt;=0.5,0.5,$G69&lt;=1,1,$G69&lt;=1.5,1.5,$G69&lt;=2,2,$G69&lt;=2.5,2.5,$G69&lt;=3,3,$G69&lt;=3.5,3.5,$G69&lt;=4,4)</f>
        <v>1</v>
      </c>
      <c r="J69" s="18" cm="1">
        <f t="array" ref="J69">_xlfn.IFS($H69&lt;=500,0.5,$H69&lt;=1000,1,$H69&lt;=1500,1.5,$H69&lt;=2000,2,$H69&lt;=2500,2.5,$H69&lt;=3000,3,$H69&lt;=3500,3.5,$H69&lt;=4000,4)*1000</f>
        <v>1000</v>
      </c>
      <c r="K69" s="6" t="str">
        <f>UPPER(VLOOKUP(C69,'Zones Pincode_Company X'!B:C,2,FALSE))</f>
        <v>B</v>
      </c>
      <c r="L69" s="18">
        <f>VLOOKUP(K69,'Rates_Courier Company'!$B$7:$C$12,2,0)</f>
        <v>33</v>
      </c>
      <c r="M69" s="18">
        <f>VLOOKUP(K69,'Rates_Courier Company'!$B$15:$C$20,2,FALSE)*(I69/0.5-1)</f>
        <v>28.3</v>
      </c>
      <c r="N69" s="6">
        <f>IF(F69="Yes",VLOOKUP(K69,'Rates_Courier Company'!$F$7:$G$12,2,0),0)</f>
        <v>0</v>
      </c>
      <c r="O69" s="6">
        <f>IF(F69="Yes",VLOOKUP(K69,'Rates_Courier Company'!$F$15:$G$20,2,0),0)*(I69/0.5 -1)</f>
        <v>0</v>
      </c>
      <c r="P69" s="18">
        <f t="shared" si="10"/>
        <v>61.3</v>
      </c>
      <c r="Q69" s="18">
        <f>VLOOKUP(A69,'Invoice_Courier Company'!B:C,2,0)</f>
        <v>0.59</v>
      </c>
      <c r="R69" s="18">
        <f t="shared" si="11"/>
        <v>1</v>
      </c>
      <c r="S69" s="6" t="str">
        <f>UPPER(VLOOKUP(A69,'Invoice_Courier Company'!B:G,5,FALSE))</f>
        <v>D</v>
      </c>
      <c r="T69" s="18">
        <f>VLOOKUP(A69,'Invoice_Courier Company'!B:H,7,0)</f>
        <v>90.2</v>
      </c>
      <c r="U69" s="18">
        <f t="shared" si="12"/>
        <v>-28.900000000000006</v>
      </c>
      <c r="V69" s="32">
        <f t="shared" si="13"/>
        <v>-0.47145187601957594</v>
      </c>
      <c r="W69" s="18">
        <f t="shared" si="14"/>
        <v>61.3</v>
      </c>
      <c r="X69" s="6">
        <f t="shared" si="15"/>
        <v>0</v>
      </c>
    </row>
    <row r="70" spans="1:24" x14ac:dyDescent="0.3">
      <c r="A70" s="7">
        <v>2001811466</v>
      </c>
      <c r="B70" s="7">
        <v>1091118001865</v>
      </c>
      <c r="C70" s="6">
        <f>VLOOKUP(A70,'Invoice_Courier Company'!B:E,4,FALSE)</f>
        <v>302002</v>
      </c>
      <c r="D70" s="6" t="str">
        <f>VLOOKUP(A70,'Invoice_Courier Company'!B:G,6,FALSE)</f>
        <v>Forward charges</v>
      </c>
      <c r="E70" s="6" t="str">
        <f t="shared" si="8"/>
        <v>Yes</v>
      </c>
      <c r="F70" s="6" t="str">
        <f t="shared" si="9"/>
        <v>No</v>
      </c>
      <c r="G70" s="18">
        <f>SUMIFS('Order Report_Company X'!E:E,'Order Report_Company X'!A:A,A70)/1000</f>
        <v>0.60699999999999998</v>
      </c>
      <c r="H70" s="18">
        <f>SUMIFS('Order Report_Company X'!E:E,'Order Report_Company X'!A:A,'Order Level Calculation_Company'!A70)</f>
        <v>607</v>
      </c>
      <c r="I70" s="18" cm="1">
        <f t="array" ref="I70">_xlfn.IFS($G70&lt;=0.5,0.5,$G70&lt;=1,1,$G70&lt;=1.5,1.5,$G70&lt;=2,2,$G70&lt;=2.5,2.5,$G70&lt;=3,3,$G70&lt;=3.5,3.5,$G70&lt;=4,4)</f>
        <v>1</v>
      </c>
      <c r="J70" s="18" cm="1">
        <f t="array" ref="J70">_xlfn.IFS($H70&lt;=500,0.5,$H70&lt;=1000,1,$H70&lt;=1500,1.5,$H70&lt;=2000,2,$H70&lt;=2500,2.5,$H70&lt;=3000,3,$H70&lt;=3500,3.5,$H70&lt;=4000,4)*1000</f>
        <v>1000</v>
      </c>
      <c r="K70" s="6" t="str">
        <f>UPPER(VLOOKUP(C70,'Zones Pincode_Company X'!B:C,2,FALSE))</f>
        <v>B</v>
      </c>
      <c r="L70" s="18">
        <f>VLOOKUP(K70,'Rates_Courier Company'!$B$7:$C$12,2,0)</f>
        <v>33</v>
      </c>
      <c r="M70" s="18">
        <f>VLOOKUP(K70,'Rates_Courier Company'!$B$15:$C$20,2,FALSE)*(I70/0.5-1)</f>
        <v>28.3</v>
      </c>
      <c r="N70" s="6">
        <f>IF(F70="Yes",VLOOKUP(K70,'Rates_Courier Company'!$F$7:$G$12,2,0),0)</f>
        <v>0</v>
      </c>
      <c r="O70" s="6">
        <f>IF(F70="Yes",VLOOKUP(K70,'Rates_Courier Company'!$F$15:$G$20,2,0),0)*(I70/0.5 -1)</f>
        <v>0</v>
      </c>
      <c r="P70" s="18">
        <f t="shared" si="10"/>
        <v>61.3</v>
      </c>
      <c r="Q70" s="18">
        <f>VLOOKUP(A70,'Invoice_Courier Company'!B:C,2,0)</f>
        <v>0.8</v>
      </c>
      <c r="R70" s="18">
        <f t="shared" si="11"/>
        <v>1</v>
      </c>
      <c r="S70" s="6" t="str">
        <f>UPPER(VLOOKUP(A70,'Invoice_Courier Company'!B:G,5,FALSE))</f>
        <v>D</v>
      </c>
      <c r="T70" s="18">
        <f>VLOOKUP(A70,'Invoice_Courier Company'!B:H,7,0)</f>
        <v>90.2</v>
      </c>
      <c r="U70" s="18">
        <f t="shared" si="12"/>
        <v>-28.900000000000006</v>
      </c>
      <c r="V70" s="32">
        <f t="shared" si="13"/>
        <v>-0.47145187601957594</v>
      </c>
      <c r="W70" s="18">
        <f t="shared" si="14"/>
        <v>61.3</v>
      </c>
      <c r="X70" s="6">
        <f t="shared" si="15"/>
        <v>0</v>
      </c>
    </row>
    <row r="71" spans="1:24" x14ac:dyDescent="0.3">
      <c r="A71" s="7">
        <v>2001811809</v>
      </c>
      <c r="B71" s="7">
        <v>1091118009786</v>
      </c>
      <c r="C71" s="6">
        <f>VLOOKUP(A71,'Invoice_Courier Company'!B:E,4,FALSE)</f>
        <v>311011</v>
      </c>
      <c r="D71" s="6" t="str">
        <f>VLOOKUP(A71,'Invoice_Courier Company'!B:G,6,FALSE)</f>
        <v>Forward and RTO charges</v>
      </c>
      <c r="E71" s="6" t="str">
        <f t="shared" si="8"/>
        <v>No</v>
      </c>
      <c r="F71" s="6" t="str">
        <f t="shared" si="9"/>
        <v>Yes</v>
      </c>
      <c r="G71" s="18">
        <f>SUMIFS('Order Report_Company X'!E:E,'Order Report_Company X'!A:A,A71)/1000</f>
        <v>0.5</v>
      </c>
      <c r="H71" s="18">
        <f>SUMIFS('Order Report_Company X'!E:E,'Order Report_Company X'!A:A,'Order Level Calculation_Company'!A71)</f>
        <v>500</v>
      </c>
      <c r="I71" s="18" cm="1">
        <f t="array" ref="I71">_xlfn.IFS($G71&lt;=0.5,0.5,$G71&lt;=1,1,$G71&lt;=1.5,1.5,$G71&lt;=2,2,$G71&lt;=2.5,2.5,$G71&lt;=3,3,$G71&lt;=3.5,3.5,$G71&lt;=4,4)</f>
        <v>0.5</v>
      </c>
      <c r="J71" s="18" cm="1">
        <f t="array" ref="J71">_xlfn.IFS($H71&lt;=500,0.5,$H71&lt;=1000,1,$H71&lt;=1500,1.5,$H71&lt;=2000,2,$H71&lt;=2500,2.5,$H71&lt;=3000,3,$H71&lt;=3500,3.5,$H71&lt;=4000,4)*1000</f>
        <v>500</v>
      </c>
      <c r="K71" s="6" t="str">
        <f>UPPER(VLOOKUP(C71,'Zones Pincode_Company X'!B:C,2,FALSE))</f>
        <v>B</v>
      </c>
      <c r="L71" s="18">
        <f>VLOOKUP(K71,'Rates_Courier Company'!$B$7:$C$12,2,0)</f>
        <v>33</v>
      </c>
      <c r="M71" s="18">
        <f>VLOOKUP(K71,'Rates_Courier Company'!$B$15:$C$20,2,FALSE)*(I71/0.5-1)</f>
        <v>0</v>
      </c>
      <c r="N71" s="6">
        <f>IF(F71="Yes",VLOOKUP(K71,'Rates_Courier Company'!$F$7:$G$12,2,0),0)</f>
        <v>20.5</v>
      </c>
      <c r="O71" s="6">
        <f>IF(F71="Yes",VLOOKUP(K71,'Rates_Courier Company'!$F$15:$G$20,2,0),0)*(I71/0.5 -1)</f>
        <v>0</v>
      </c>
      <c r="P71" s="18">
        <f t="shared" si="10"/>
        <v>53.5</v>
      </c>
      <c r="Q71" s="18">
        <f>VLOOKUP(A71,'Invoice_Courier Company'!B:C,2,0)</f>
        <v>0.5</v>
      </c>
      <c r="R71" s="18">
        <f t="shared" si="11"/>
        <v>0.5</v>
      </c>
      <c r="S71" s="6" t="str">
        <f>UPPER(VLOOKUP(A71,'Invoice_Courier Company'!B:G,5,FALSE))</f>
        <v>D</v>
      </c>
      <c r="T71" s="18">
        <f>VLOOKUP(A71,'Invoice_Courier Company'!B:H,7,0)</f>
        <v>86.7</v>
      </c>
      <c r="U71" s="18">
        <f t="shared" si="12"/>
        <v>-33.200000000000003</v>
      </c>
      <c r="V71" s="32">
        <f t="shared" si="13"/>
        <v>-0.6205607476635514</v>
      </c>
      <c r="W71" s="18">
        <f t="shared" si="14"/>
        <v>33</v>
      </c>
      <c r="X71" s="6">
        <f t="shared" si="15"/>
        <v>20.5</v>
      </c>
    </row>
    <row r="72" spans="1:24" x14ac:dyDescent="0.3">
      <c r="A72" s="7">
        <v>2001812854</v>
      </c>
      <c r="B72" s="7">
        <v>1091118548333</v>
      </c>
      <c r="C72" s="6">
        <f>VLOOKUP(A72,'Invoice_Courier Company'!B:E,4,FALSE)</f>
        <v>306302</v>
      </c>
      <c r="D72" s="6" t="str">
        <f>VLOOKUP(A72,'Invoice_Courier Company'!B:G,6,FALSE)</f>
        <v>Forward charges</v>
      </c>
      <c r="E72" s="6" t="str">
        <f t="shared" si="8"/>
        <v>Yes</v>
      </c>
      <c r="F72" s="6" t="str">
        <f t="shared" si="9"/>
        <v>No</v>
      </c>
      <c r="G72" s="18">
        <f>SUMIFS('Order Report_Company X'!E:E,'Order Report_Company X'!A:A,A72)/1000</f>
        <v>2.5720000000000001</v>
      </c>
      <c r="H72" s="18">
        <f>SUMIFS('Order Report_Company X'!E:E,'Order Report_Company X'!A:A,'Order Level Calculation_Company'!A72)</f>
        <v>2572</v>
      </c>
      <c r="I72" s="18" cm="1">
        <f t="array" ref="I72">_xlfn.IFS($G72&lt;=0.5,0.5,$G72&lt;=1,1,$G72&lt;=1.5,1.5,$G72&lt;=2,2,$G72&lt;=2.5,2.5,$G72&lt;=3,3,$G72&lt;=3.5,3.5,$G72&lt;=4,4)</f>
        <v>3</v>
      </c>
      <c r="J72" s="18" cm="1">
        <f t="array" ref="J72">_xlfn.IFS($H72&lt;=500,0.5,$H72&lt;=1000,1,$H72&lt;=1500,1.5,$H72&lt;=2000,2,$H72&lt;=2500,2.5,$H72&lt;=3000,3,$H72&lt;=3500,3.5,$H72&lt;=4000,4)*1000</f>
        <v>3000</v>
      </c>
      <c r="K72" s="6" t="str">
        <f>UPPER(VLOOKUP(C72,'Zones Pincode_Company X'!B:C,2,FALSE))</f>
        <v>B</v>
      </c>
      <c r="L72" s="18">
        <f>VLOOKUP(K72,'Rates_Courier Company'!$B$7:$C$12,2,0)</f>
        <v>33</v>
      </c>
      <c r="M72" s="18">
        <f>VLOOKUP(K72,'Rates_Courier Company'!$B$15:$C$20,2,FALSE)*(I72/0.5-1)</f>
        <v>141.5</v>
      </c>
      <c r="N72" s="6">
        <f>IF(F72="Yes",VLOOKUP(K72,'Rates_Courier Company'!$F$7:$G$12,2,0),0)</f>
        <v>0</v>
      </c>
      <c r="O72" s="6">
        <f>IF(F72="Yes",VLOOKUP(K72,'Rates_Courier Company'!$F$15:$G$20,2,0),0)*(I72/0.5 -1)</f>
        <v>0</v>
      </c>
      <c r="P72" s="18">
        <f t="shared" si="10"/>
        <v>174.5</v>
      </c>
      <c r="Q72" s="18">
        <f>VLOOKUP(A72,'Invoice_Courier Company'!B:C,2,0)</f>
        <v>2.94</v>
      </c>
      <c r="R72" s="18">
        <f t="shared" si="11"/>
        <v>3</v>
      </c>
      <c r="S72" s="6" t="str">
        <f>UPPER(VLOOKUP(A72,'Invoice_Courier Company'!B:G,5,FALSE))</f>
        <v>D</v>
      </c>
      <c r="T72" s="18">
        <f>VLOOKUP(A72,'Invoice_Courier Company'!B:H,7,0)</f>
        <v>269.39999999999998</v>
      </c>
      <c r="U72" s="18">
        <f t="shared" si="12"/>
        <v>-94.899999999999977</v>
      </c>
      <c r="V72" s="32">
        <f t="shared" si="13"/>
        <v>-0.54383954154727776</v>
      </c>
      <c r="W72" s="18">
        <f t="shared" si="14"/>
        <v>174.5</v>
      </c>
      <c r="X72" s="6">
        <f t="shared" si="15"/>
        <v>0</v>
      </c>
    </row>
    <row r="73" spans="1:24" x14ac:dyDescent="0.3">
      <c r="A73" s="7">
        <v>2001813009</v>
      </c>
      <c r="B73" s="7">
        <v>1091118553701</v>
      </c>
      <c r="C73" s="6">
        <f>VLOOKUP(A73,'Invoice_Courier Company'!B:E,4,FALSE)</f>
        <v>313001</v>
      </c>
      <c r="D73" s="6" t="str">
        <f>VLOOKUP(A73,'Invoice_Courier Company'!B:G,6,FALSE)</f>
        <v>Forward charges</v>
      </c>
      <c r="E73" s="6" t="str">
        <f t="shared" si="8"/>
        <v>Yes</v>
      </c>
      <c r="F73" s="6" t="str">
        <f t="shared" si="9"/>
        <v>No</v>
      </c>
      <c r="G73" s="18">
        <f>SUMIFS('Order Report_Company X'!E:E,'Order Report_Company X'!A:A,A73)/1000</f>
        <v>0.72</v>
      </c>
      <c r="H73" s="18">
        <f>SUMIFS('Order Report_Company X'!E:E,'Order Report_Company X'!A:A,'Order Level Calculation_Company'!A73)</f>
        <v>720</v>
      </c>
      <c r="I73" s="18" cm="1">
        <f t="array" ref="I73">_xlfn.IFS($G73&lt;=0.5,0.5,$G73&lt;=1,1,$G73&lt;=1.5,1.5,$G73&lt;=2,2,$G73&lt;=2.5,2.5,$G73&lt;=3,3,$G73&lt;=3.5,3.5,$G73&lt;=4,4)</f>
        <v>1</v>
      </c>
      <c r="J73" s="18" cm="1">
        <f t="array" ref="J73">_xlfn.IFS($H73&lt;=500,0.5,$H73&lt;=1000,1,$H73&lt;=1500,1.5,$H73&lt;=2000,2,$H73&lt;=2500,2.5,$H73&lt;=3000,3,$H73&lt;=3500,3.5,$H73&lt;=4000,4)*1000</f>
        <v>1000</v>
      </c>
      <c r="K73" s="6" t="str">
        <f>UPPER(VLOOKUP(C73,'Zones Pincode_Company X'!B:C,2,FALSE))</f>
        <v>B</v>
      </c>
      <c r="L73" s="18">
        <f>VLOOKUP(K73,'Rates_Courier Company'!$B$7:$C$12,2,0)</f>
        <v>33</v>
      </c>
      <c r="M73" s="18">
        <f>VLOOKUP(K73,'Rates_Courier Company'!$B$15:$C$20,2,FALSE)*(I73/0.5-1)</f>
        <v>28.3</v>
      </c>
      <c r="N73" s="6">
        <f>IF(F73="Yes",VLOOKUP(K73,'Rates_Courier Company'!$F$7:$G$12,2,0),0)</f>
        <v>0</v>
      </c>
      <c r="O73" s="6">
        <f>IF(F73="Yes",VLOOKUP(K73,'Rates_Courier Company'!$F$15:$G$20,2,0),0)*(I73/0.5 -1)</f>
        <v>0</v>
      </c>
      <c r="P73" s="18">
        <f t="shared" si="10"/>
        <v>61.3</v>
      </c>
      <c r="Q73" s="18">
        <f>VLOOKUP(A73,'Invoice_Courier Company'!B:C,2,0)</f>
        <v>1</v>
      </c>
      <c r="R73" s="18">
        <f t="shared" si="11"/>
        <v>1</v>
      </c>
      <c r="S73" s="6" t="str">
        <f>UPPER(VLOOKUP(A73,'Invoice_Courier Company'!B:G,5,FALSE))</f>
        <v>D</v>
      </c>
      <c r="T73" s="18">
        <f>VLOOKUP(A73,'Invoice_Courier Company'!B:H,7,0)</f>
        <v>90.2</v>
      </c>
      <c r="U73" s="18">
        <f t="shared" si="12"/>
        <v>-28.900000000000006</v>
      </c>
      <c r="V73" s="32">
        <f t="shared" si="13"/>
        <v>-0.47145187601957594</v>
      </c>
      <c r="W73" s="18">
        <f t="shared" si="14"/>
        <v>61.3</v>
      </c>
      <c r="X73" s="6">
        <f t="shared" si="15"/>
        <v>0</v>
      </c>
    </row>
    <row r="74" spans="1:24" x14ac:dyDescent="0.3">
      <c r="A74" s="7">
        <v>2001812650</v>
      </c>
      <c r="B74" s="7">
        <v>1091118591534</v>
      </c>
      <c r="C74" s="6">
        <f>VLOOKUP(A74,'Invoice_Courier Company'!B:E,4,FALSE)</f>
        <v>302002</v>
      </c>
      <c r="D74" s="6" t="str">
        <f>VLOOKUP(A74,'Invoice_Courier Company'!B:G,6,FALSE)</f>
        <v>Forward charges</v>
      </c>
      <c r="E74" s="6" t="str">
        <f t="shared" si="8"/>
        <v>Yes</v>
      </c>
      <c r="F74" s="6" t="str">
        <f t="shared" si="9"/>
        <v>No</v>
      </c>
      <c r="G74" s="18">
        <f>SUMIFS('Order Report_Company X'!E:E,'Order Report_Company X'!A:A,A74)/1000</f>
        <v>0.56299999999999994</v>
      </c>
      <c r="H74" s="18">
        <f>SUMIFS('Order Report_Company X'!E:E,'Order Report_Company X'!A:A,'Order Level Calculation_Company'!A74)</f>
        <v>563</v>
      </c>
      <c r="I74" s="18" cm="1">
        <f t="array" ref="I74">_xlfn.IFS($G74&lt;=0.5,0.5,$G74&lt;=1,1,$G74&lt;=1.5,1.5,$G74&lt;=2,2,$G74&lt;=2.5,2.5,$G74&lt;=3,3,$G74&lt;=3.5,3.5,$G74&lt;=4,4)</f>
        <v>1</v>
      </c>
      <c r="J74" s="18" cm="1">
        <f t="array" ref="J74">_xlfn.IFS($H74&lt;=500,0.5,$H74&lt;=1000,1,$H74&lt;=1500,1.5,$H74&lt;=2000,2,$H74&lt;=2500,2.5,$H74&lt;=3000,3,$H74&lt;=3500,3.5,$H74&lt;=4000,4)*1000</f>
        <v>1000</v>
      </c>
      <c r="K74" s="6" t="str">
        <f>UPPER(VLOOKUP(C74,'Zones Pincode_Company X'!B:C,2,FALSE))</f>
        <v>B</v>
      </c>
      <c r="L74" s="18">
        <f>VLOOKUP(K74,'Rates_Courier Company'!$B$7:$C$12,2,0)</f>
        <v>33</v>
      </c>
      <c r="M74" s="18">
        <f>VLOOKUP(K74,'Rates_Courier Company'!$B$15:$C$20,2,FALSE)*(I74/0.5-1)</f>
        <v>28.3</v>
      </c>
      <c r="N74" s="6">
        <f>IF(F74="Yes",VLOOKUP(K74,'Rates_Courier Company'!$F$7:$G$12,2,0),0)</f>
        <v>0</v>
      </c>
      <c r="O74" s="6">
        <f>IF(F74="Yes",VLOOKUP(K74,'Rates_Courier Company'!$F$15:$G$20,2,0),0)*(I74/0.5 -1)</f>
        <v>0</v>
      </c>
      <c r="P74" s="18">
        <f t="shared" si="10"/>
        <v>61.3</v>
      </c>
      <c r="Q74" s="18">
        <f>VLOOKUP(A74,'Invoice_Courier Company'!B:C,2,0)</f>
        <v>0.61</v>
      </c>
      <c r="R74" s="18">
        <f t="shared" si="11"/>
        <v>1</v>
      </c>
      <c r="S74" s="6" t="str">
        <f>UPPER(VLOOKUP(A74,'Invoice_Courier Company'!B:G,5,FALSE))</f>
        <v>D</v>
      </c>
      <c r="T74" s="18">
        <f>VLOOKUP(A74,'Invoice_Courier Company'!B:H,7,0)</f>
        <v>90.2</v>
      </c>
      <c r="U74" s="18">
        <f t="shared" si="12"/>
        <v>-28.900000000000006</v>
      </c>
      <c r="V74" s="32">
        <f t="shared" si="13"/>
        <v>-0.47145187601957594</v>
      </c>
      <c r="W74" s="18">
        <f t="shared" si="14"/>
        <v>61.3</v>
      </c>
      <c r="X74" s="6">
        <f t="shared" si="15"/>
        <v>0</v>
      </c>
    </row>
    <row r="75" spans="1:24" x14ac:dyDescent="0.3">
      <c r="A75" s="7">
        <v>2001814580</v>
      </c>
      <c r="B75" s="7">
        <v>1091118925110</v>
      </c>
      <c r="C75" s="6">
        <f>VLOOKUP(A75,'Invoice_Courier Company'!B:E,4,FALSE)</f>
        <v>322255</v>
      </c>
      <c r="D75" s="6" t="str">
        <f>VLOOKUP(A75,'Invoice_Courier Company'!B:G,6,FALSE)</f>
        <v>Forward and RTO charges</v>
      </c>
      <c r="E75" s="6" t="str">
        <f t="shared" si="8"/>
        <v>No</v>
      </c>
      <c r="F75" s="6" t="str">
        <f t="shared" si="9"/>
        <v>Yes</v>
      </c>
      <c r="G75" s="18">
        <f>SUMIFS('Order Report_Company X'!E:E,'Order Report_Company X'!A:A,A75)/1000</f>
        <v>0.127</v>
      </c>
      <c r="H75" s="18">
        <f>SUMIFS('Order Report_Company X'!E:E,'Order Report_Company X'!A:A,'Order Level Calculation_Company'!A75)</f>
        <v>127</v>
      </c>
      <c r="I75" s="18" cm="1">
        <f t="array" ref="I75">_xlfn.IFS($G75&lt;=0.5,0.5,$G75&lt;=1,1,$G75&lt;=1.5,1.5,$G75&lt;=2,2,$G75&lt;=2.5,2.5,$G75&lt;=3,3,$G75&lt;=3.5,3.5,$G75&lt;=4,4)</f>
        <v>0.5</v>
      </c>
      <c r="J75" s="18" cm="1">
        <f t="array" ref="J75">_xlfn.IFS($H75&lt;=500,0.5,$H75&lt;=1000,1,$H75&lt;=1500,1.5,$H75&lt;=2000,2,$H75&lt;=2500,2.5,$H75&lt;=3000,3,$H75&lt;=3500,3.5,$H75&lt;=4000,4)*1000</f>
        <v>500</v>
      </c>
      <c r="K75" s="6" t="str">
        <f>UPPER(VLOOKUP(C75,'Zones Pincode_Company X'!B:C,2,FALSE))</f>
        <v>B</v>
      </c>
      <c r="L75" s="18">
        <f>VLOOKUP(K75,'Rates_Courier Company'!$B$7:$C$12,2,0)</f>
        <v>33</v>
      </c>
      <c r="M75" s="18">
        <f>VLOOKUP(K75,'Rates_Courier Company'!$B$15:$C$20,2,FALSE)*(I75/0.5-1)</f>
        <v>0</v>
      </c>
      <c r="N75" s="6">
        <f>IF(F75="Yes",VLOOKUP(K75,'Rates_Courier Company'!$F$7:$G$12,2,0),0)</f>
        <v>20.5</v>
      </c>
      <c r="O75" s="6">
        <f>IF(F75="Yes",VLOOKUP(K75,'Rates_Courier Company'!$F$15:$G$20,2,0),0)*(I75/0.5 -1)</f>
        <v>0</v>
      </c>
      <c r="P75" s="18">
        <f t="shared" si="10"/>
        <v>53.5</v>
      </c>
      <c r="Q75" s="18">
        <f>VLOOKUP(A75,'Invoice_Courier Company'!B:C,2,0)</f>
        <v>0.15</v>
      </c>
      <c r="R75" s="18">
        <f t="shared" si="11"/>
        <v>0.5</v>
      </c>
      <c r="S75" s="6" t="str">
        <f>UPPER(VLOOKUP(A75,'Invoice_Courier Company'!B:G,5,FALSE))</f>
        <v>D</v>
      </c>
      <c r="T75" s="18">
        <f>VLOOKUP(A75,'Invoice_Courier Company'!B:H,7,0)</f>
        <v>86.7</v>
      </c>
      <c r="U75" s="18">
        <f t="shared" si="12"/>
        <v>-33.200000000000003</v>
      </c>
      <c r="V75" s="32">
        <f t="shared" si="13"/>
        <v>-0.6205607476635514</v>
      </c>
      <c r="W75" s="18">
        <f t="shared" si="14"/>
        <v>33</v>
      </c>
      <c r="X75" s="6">
        <f t="shared" si="15"/>
        <v>20.5</v>
      </c>
    </row>
    <row r="76" spans="1:24" x14ac:dyDescent="0.3">
      <c r="A76" s="7">
        <v>2001815688</v>
      </c>
      <c r="B76" s="7">
        <v>1091119169701</v>
      </c>
      <c r="C76" s="6">
        <f>VLOOKUP(A76,'Invoice_Courier Company'!B:E,4,FALSE)</f>
        <v>302017</v>
      </c>
      <c r="D76" s="6" t="str">
        <f>VLOOKUP(A76,'Invoice_Courier Company'!B:G,6,FALSE)</f>
        <v>Forward charges</v>
      </c>
      <c r="E76" s="6" t="str">
        <f t="shared" si="8"/>
        <v>Yes</v>
      </c>
      <c r="F76" s="6" t="str">
        <f t="shared" si="9"/>
        <v>No</v>
      </c>
      <c r="G76" s="18">
        <f>SUMIFS('Order Report_Company X'!E:E,'Order Report_Company X'!A:A,A76)/1000</f>
        <v>0.22</v>
      </c>
      <c r="H76" s="18">
        <f>SUMIFS('Order Report_Company X'!E:E,'Order Report_Company X'!A:A,'Order Level Calculation_Company'!A76)</f>
        <v>220</v>
      </c>
      <c r="I76" s="18" cm="1">
        <f t="array" ref="I76">_xlfn.IFS($G76&lt;=0.5,0.5,$G76&lt;=1,1,$G76&lt;=1.5,1.5,$G76&lt;=2,2,$G76&lt;=2.5,2.5,$G76&lt;=3,3,$G76&lt;=3.5,3.5,$G76&lt;=4,4)</f>
        <v>0.5</v>
      </c>
      <c r="J76" s="18" cm="1">
        <f t="array" ref="J76">_xlfn.IFS($H76&lt;=500,0.5,$H76&lt;=1000,1,$H76&lt;=1500,1.5,$H76&lt;=2000,2,$H76&lt;=2500,2.5,$H76&lt;=3000,3,$H76&lt;=3500,3.5,$H76&lt;=4000,4)*1000</f>
        <v>500</v>
      </c>
      <c r="K76" s="6" t="str">
        <f>UPPER(VLOOKUP(C76,'Zones Pincode_Company X'!B:C,2,FALSE))</f>
        <v>B</v>
      </c>
      <c r="L76" s="18">
        <f>VLOOKUP(K76,'Rates_Courier Company'!$B$7:$C$12,2,0)</f>
        <v>33</v>
      </c>
      <c r="M76" s="18">
        <f>VLOOKUP(K76,'Rates_Courier Company'!$B$15:$C$20,2,FALSE)*(I76/0.5-1)</f>
        <v>0</v>
      </c>
      <c r="N76" s="6">
        <f>IF(F76="Yes",VLOOKUP(K76,'Rates_Courier Company'!$F$7:$G$12,2,0),0)</f>
        <v>0</v>
      </c>
      <c r="O76" s="6">
        <f>IF(F76="Yes",VLOOKUP(K76,'Rates_Courier Company'!$F$15:$G$20,2,0),0)*(I76/0.5 -1)</f>
        <v>0</v>
      </c>
      <c r="P76" s="18">
        <f t="shared" si="10"/>
        <v>33</v>
      </c>
      <c r="Q76" s="18">
        <f>VLOOKUP(A76,'Invoice_Courier Company'!B:C,2,0)</f>
        <v>0.2</v>
      </c>
      <c r="R76" s="18">
        <f t="shared" si="11"/>
        <v>0.5</v>
      </c>
      <c r="S76" s="6" t="str">
        <f>UPPER(VLOOKUP(A76,'Invoice_Courier Company'!B:G,5,FALSE))</f>
        <v>D</v>
      </c>
      <c r="T76" s="18">
        <f>VLOOKUP(A76,'Invoice_Courier Company'!B:H,7,0)</f>
        <v>45.4</v>
      </c>
      <c r="U76" s="18">
        <f t="shared" si="12"/>
        <v>-12.399999999999999</v>
      </c>
      <c r="V76" s="32">
        <f t="shared" si="13"/>
        <v>-0.37575757575757573</v>
      </c>
      <c r="W76" s="18">
        <f t="shared" si="14"/>
        <v>33</v>
      </c>
      <c r="X76" s="6">
        <f t="shared" si="15"/>
        <v>0</v>
      </c>
    </row>
    <row r="77" spans="1:24" x14ac:dyDescent="0.3">
      <c r="A77" s="7">
        <v>2001816131</v>
      </c>
      <c r="B77" s="7">
        <v>1091119367193</v>
      </c>
      <c r="C77" s="6">
        <f>VLOOKUP(A77,'Invoice_Courier Company'!B:E,4,FALSE)</f>
        <v>302017</v>
      </c>
      <c r="D77" s="6" t="str">
        <f>VLOOKUP(A77,'Invoice_Courier Company'!B:G,6,FALSE)</f>
        <v>Forward charges</v>
      </c>
      <c r="E77" s="6" t="str">
        <f t="shared" si="8"/>
        <v>Yes</v>
      </c>
      <c r="F77" s="6" t="str">
        <f t="shared" si="9"/>
        <v>No</v>
      </c>
      <c r="G77" s="18">
        <f>SUMIFS('Order Report_Company X'!E:E,'Order Report_Company X'!A:A,A77)/1000</f>
        <v>0.55400000000000005</v>
      </c>
      <c r="H77" s="18">
        <f>SUMIFS('Order Report_Company X'!E:E,'Order Report_Company X'!A:A,'Order Level Calculation_Company'!A77)</f>
        <v>554</v>
      </c>
      <c r="I77" s="18" cm="1">
        <f t="array" ref="I77">_xlfn.IFS($G77&lt;=0.5,0.5,$G77&lt;=1,1,$G77&lt;=1.5,1.5,$G77&lt;=2,2,$G77&lt;=2.5,2.5,$G77&lt;=3,3,$G77&lt;=3.5,3.5,$G77&lt;=4,4)</f>
        <v>1</v>
      </c>
      <c r="J77" s="18" cm="1">
        <f t="array" ref="J77">_xlfn.IFS($H77&lt;=500,0.5,$H77&lt;=1000,1,$H77&lt;=1500,1.5,$H77&lt;=2000,2,$H77&lt;=2500,2.5,$H77&lt;=3000,3,$H77&lt;=3500,3.5,$H77&lt;=4000,4)*1000</f>
        <v>1000</v>
      </c>
      <c r="K77" s="6" t="str">
        <f>UPPER(VLOOKUP(C77,'Zones Pincode_Company X'!B:C,2,FALSE))</f>
        <v>B</v>
      </c>
      <c r="L77" s="18">
        <f>VLOOKUP(K77,'Rates_Courier Company'!$B$7:$C$12,2,0)</f>
        <v>33</v>
      </c>
      <c r="M77" s="18">
        <f>VLOOKUP(K77,'Rates_Courier Company'!$B$15:$C$20,2,FALSE)*(I77/0.5-1)</f>
        <v>28.3</v>
      </c>
      <c r="N77" s="6">
        <f>IF(F77="Yes",VLOOKUP(K77,'Rates_Courier Company'!$F$7:$G$12,2,0),0)</f>
        <v>0</v>
      </c>
      <c r="O77" s="6">
        <f>IF(F77="Yes",VLOOKUP(K77,'Rates_Courier Company'!$F$15:$G$20,2,0),0)*(I77/0.5 -1)</f>
        <v>0</v>
      </c>
      <c r="P77" s="18">
        <f t="shared" si="10"/>
        <v>61.3</v>
      </c>
      <c r="Q77" s="18">
        <f>VLOOKUP(A77,'Invoice_Courier Company'!B:C,2,0)</f>
        <v>0.7</v>
      </c>
      <c r="R77" s="18">
        <f t="shared" si="11"/>
        <v>1</v>
      </c>
      <c r="S77" s="6" t="str">
        <f>UPPER(VLOOKUP(A77,'Invoice_Courier Company'!B:G,5,FALSE))</f>
        <v>D</v>
      </c>
      <c r="T77" s="18">
        <f>VLOOKUP(A77,'Invoice_Courier Company'!B:H,7,0)</f>
        <v>90.2</v>
      </c>
      <c r="U77" s="18">
        <f t="shared" si="12"/>
        <v>-28.900000000000006</v>
      </c>
      <c r="V77" s="32">
        <f t="shared" si="13"/>
        <v>-0.47145187601957594</v>
      </c>
      <c r="W77" s="18">
        <f t="shared" si="14"/>
        <v>61.3</v>
      </c>
      <c r="X77" s="6">
        <f t="shared" si="15"/>
        <v>0</v>
      </c>
    </row>
    <row r="78" spans="1:24" x14ac:dyDescent="0.3">
      <c r="A78" s="7">
        <v>2001816996</v>
      </c>
      <c r="B78" s="7">
        <v>1091119429202</v>
      </c>
      <c r="C78" s="6">
        <f>VLOOKUP(A78,'Invoice_Courier Company'!B:E,4,FALSE)</f>
        <v>335512</v>
      </c>
      <c r="D78" s="6" t="str">
        <f>VLOOKUP(A78,'Invoice_Courier Company'!B:G,6,FALSE)</f>
        <v>Forward charges</v>
      </c>
      <c r="E78" s="6" t="str">
        <f t="shared" si="8"/>
        <v>Yes</v>
      </c>
      <c r="F78" s="6" t="str">
        <f t="shared" si="9"/>
        <v>No</v>
      </c>
      <c r="G78" s="18">
        <f>SUMIFS('Order Report_Company X'!E:E,'Order Report_Company X'!A:A,A78)/1000</f>
        <v>0.5</v>
      </c>
      <c r="H78" s="18">
        <f>SUMIFS('Order Report_Company X'!E:E,'Order Report_Company X'!A:A,'Order Level Calculation_Company'!A78)</f>
        <v>500</v>
      </c>
      <c r="I78" s="18" cm="1">
        <f t="array" ref="I78">_xlfn.IFS($G78&lt;=0.5,0.5,$G78&lt;=1,1,$G78&lt;=1.5,1.5,$G78&lt;=2,2,$G78&lt;=2.5,2.5,$G78&lt;=3,3,$G78&lt;=3.5,3.5,$G78&lt;=4,4)</f>
        <v>0.5</v>
      </c>
      <c r="J78" s="18" cm="1">
        <f t="array" ref="J78">_xlfn.IFS($H78&lt;=500,0.5,$H78&lt;=1000,1,$H78&lt;=1500,1.5,$H78&lt;=2000,2,$H78&lt;=2500,2.5,$H78&lt;=3000,3,$H78&lt;=3500,3.5,$H78&lt;=4000,4)*1000</f>
        <v>500</v>
      </c>
      <c r="K78" s="6" t="str">
        <f>UPPER(VLOOKUP(C78,'Zones Pincode_Company X'!B:C,2,FALSE))</f>
        <v>B</v>
      </c>
      <c r="L78" s="18">
        <f>VLOOKUP(K78,'Rates_Courier Company'!$B$7:$C$12,2,0)</f>
        <v>33</v>
      </c>
      <c r="M78" s="18">
        <f>VLOOKUP(K78,'Rates_Courier Company'!$B$15:$C$20,2,FALSE)*(I78/0.5-1)</f>
        <v>0</v>
      </c>
      <c r="N78" s="6">
        <f>IF(F78="Yes",VLOOKUP(K78,'Rates_Courier Company'!$F$7:$G$12,2,0),0)</f>
        <v>0</v>
      </c>
      <c r="O78" s="6">
        <f>IF(F78="Yes",VLOOKUP(K78,'Rates_Courier Company'!$F$15:$G$20,2,0),0)*(I78/0.5 -1)</f>
        <v>0</v>
      </c>
      <c r="P78" s="18">
        <f t="shared" si="10"/>
        <v>33</v>
      </c>
      <c r="Q78" s="18">
        <f>VLOOKUP(A78,'Invoice_Courier Company'!B:C,2,0)</f>
        <v>0.5</v>
      </c>
      <c r="R78" s="18">
        <f t="shared" si="11"/>
        <v>0.5</v>
      </c>
      <c r="S78" s="6" t="str">
        <f>UPPER(VLOOKUP(A78,'Invoice_Courier Company'!B:G,5,FALSE))</f>
        <v>D</v>
      </c>
      <c r="T78" s="18">
        <f>VLOOKUP(A78,'Invoice_Courier Company'!B:H,7,0)</f>
        <v>45.4</v>
      </c>
      <c r="U78" s="18">
        <f t="shared" si="12"/>
        <v>-12.399999999999999</v>
      </c>
      <c r="V78" s="32">
        <f t="shared" si="13"/>
        <v>-0.37575757575757573</v>
      </c>
      <c r="W78" s="18">
        <f t="shared" si="14"/>
        <v>33</v>
      </c>
      <c r="X78" s="6">
        <f t="shared" si="15"/>
        <v>0</v>
      </c>
    </row>
    <row r="79" spans="1:24" x14ac:dyDescent="0.3">
      <c r="A79" s="7">
        <v>2001821185</v>
      </c>
      <c r="B79" s="7">
        <v>1091120959225</v>
      </c>
      <c r="C79" s="6">
        <f>VLOOKUP(A79,'Invoice_Courier Company'!B:E,4,FALSE)</f>
        <v>313001</v>
      </c>
      <c r="D79" s="6" t="str">
        <f>VLOOKUP(A79,'Invoice_Courier Company'!B:G,6,FALSE)</f>
        <v>Forward charges</v>
      </c>
      <c r="E79" s="6" t="str">
        <f t="shared" si="8"/>
        <v>Yes</v>
      </c>
      <c r="F79" s="6" t="str">
        <f t="shared" si="9"/>
        <v>No</v>
      </c>
      <c r="G79" s="18">
        <f>SUMIFS('Order Report_Company X'!E:E,'Order Report_Company X'!A:A,A79)/1000</f>
        <v>2.0979999999999999</v>
      </c>
      <c r="H79" s="18">
        <f>SUMIFS('Order Report_Company X'!E:E,'Order Report_Company X'!A:A,'Order Level Calculation_Company'!A79)</f>
        <v>2098</v>
      </c>
      <c r="I79" s="18" cm="1">
        <f t="array" ref="I79">_xlfn.IFS($G79&lt;=0.5,0.5,$G79&lt;=1,1,$G79&lt;=1.5,1.5,$G79&lt;=2,2,$G79&lt;=2.5,2.5,$G79&lt;=3,3,$G79&lt;=3.5,3.5,$G79&lt;=4,4)</f>
        <v>2.5</v>
      </c>
      <c r="J79" s="18" cm="1">
        <f t="array" ref="J79">_xlfn.IFS($H79&lt;=500,0.5,$H79&lt;=1000,1,$H79&lt;=1500,1.5,$H79&lt;=2000,2,$H79&lt;=2500,2.5,$H79&lt;=3000,3,$H79&lt;=3500,3.5,$H79&lt;=4000,4)*1000</f>
        <v>2500</v>
      </c>
      <c r="K79" s="6" t="str">
        <f>UPPER(VLOOKUP(C79,'Zones Pincode_Company X'!B:C,2,FALSE))</f>
        <v>B</v>
      </c>
      <c r="L79" s="18">
        <f>VLOOKUP(K79,'Rates_Courier Company'!$B$7:$C$12,2,0)</f>
        <v>33</v>
      </c>
      <c r="M79" s="18">
        <f>VLOOKUP(K79,'Rates_Courier Company'!$B$15:$C$20,2,FALSE)*(I79/0.5-1)</f>
        <v>113.2</v>
      </c>
      <c r="N79" s="6">
        <f>IF(F79="Yes",VLOOKUP(K79,'Rates_Courier Company'!$F$7:$G$12,2,0),0)</f>
        <v>0</v>
      </c>
      <c r="O79" s="6">
        <f>IF(F79="Yes",VLOOKUP(K79,'Rates_Courier Company'!$F$15:$G$20,2,0),0)*(I79/0.5 -1)</f>
        <v>0</v>
      </c>
      <c r="P79" s="18">
        <f t="shared" si="10"/>
        <v>146.19999999999999</v>
      </c>
      <c r="Q79" s="18">
        <f>VLOOKUP(A79,'Invoice_Courier Company'!B:C,2,0)</f>
        <v>2.1</v>
      </c>
      <c r="R79" s="18">
        <f t="shared" si="11"/>
        <v>2.5</v>
      </c>
      <c r="S79" s="6" t="str">
        <f>UPPER(VLOOKUP(A79,'Invoice_Courier Company'!B:G,5,FALSE))</f>
        <v>D</v>
      </c>
      <c r="T79" s="18">
        <f>VLOOKUP(A79,'Invoice_Courier Company'!B:H,7,0)</f>
        <v>224.6</v>
      </c>
      <c r="U79" s="18">
        <f t="shared" si="12"/>
        <v>-78.400000000000006</v>
      </c>
      <c r="V79" s="32">
        <f t="shared" si="13"/>
        <v>-0.53625170998632021</v>
      </c>
      <c r="W79" s="18">
        <f t="shared" si="14"/>
        <v>146.19999999999999</v>
      </c>
      <c r="X79" s="6">
        <f t="shared" si="15"/>
        <v>0</v>
      </c>
    </row>
    <row r="80" spans="1:24" x14ac:dyDescent="0.3">
      <c r="A80" s="7">
        <v>2001821284</v>
      </c>
      <c r="B80" s="7">
        <v>1091120962515</v>
      </c>
      <c r="C80" s="6">
        <f>VLOOKUP(A80,'Invoice_Courier Company'!B:E,4,FALSE)</f>
        <v>313001</v>
      </c>
      <c r="D80" s="6" t="str">
        <f>VLOOKUP(A80,'Invoice_Courier Company'!B:G,6,FALSE)</f>
        <v>Forward charges</v>
      </c>
      <c r="E80" s="6" t="str">
        <f t="shared" si="8"/>
        <v>Yes</v>
      </c>
      <c r="F80" s="6" t="str">
        <f t="shared" si="9"/>
        <v>No</v>
      </c>
      <c r="G80" s="18">
        <f>SUMIFS('Order Report_Company X'!E:E,'Order Report_Company X'!A:A,A80)/1000</f>
        <v>0.17699999999999999</v>
      </c>
      <c r="H80" s="18">
        <f>SUMIFS('Order Report_Company X'!E:E,'Order Report_Company X'!A:A,'Order Level Calculation_Company'!A80)</f>
        <v>177</v>
      </c>
      <c r="I80" s="18" cm="1">
        <f t="array" ref="I80">_xlfn.IFS($G80&lt;=0.5,0.5,$G80&lt;=1,1,$G80&lt;=1.5,1.5,$G80&lt;=2,2,$G80&lt;=2.5,2.5,$G80&lt;=3,3,$G80&lt;=3.5,3.5,$G80&lt;=4,4)</f>
        <v>0.5</v>
      </c>
      <c r="J80" s="18" cm="1">
        <f t="array" ref="J80">_xlfn.IFS($H80&lt;=500,0.5,$H80&lt;=1000,1,$H80&lt;=1500,1.5,$H80&lt;=2000,2,$H80&lt;=2500,2.5,$H80&lt;=3000,3,$H80&lt;=3500,3.5,$H80&lt;=4000,4)*1000</f>
        <v>500</v>
      </c>
      <c r="K80" s="6" t="str">
        <f>UPPER(VLOOKUP(C80,'Zones Pincode_Company X'!B:C,2,FALSE))</f>
        <v>B</v>
      </c>
      <c r="L80" s="18">
        <f>VLOOKUP(K80,'Rates_Courier Company'!$B$7:$C$12,2,0)</f>
        <v>33</v>
      </c>
      <c r="M80" s="18">
        <f>VLOOKUP(K80,'Rates_Courier Company'!$B$15:$C$20,2,FALSE)*(I80/0.5-1)</f>
        <v>0</v>
      </c>
      <c r="N80" s="6">
        <f>IF(F80="Yes",VLOOKUP(K80,'Rates_Courier Company'!$F$7:$G$12,2,0),0)</f>
        <v>0</v>
      </c>
      <c r="O80" s="6">
        <f>IF(F80="Yes",VLOOKUP(K80,'Rates_Courier Company'!$F$15:$G$20,2,0),0)*(I80/0.5 -1)</f>
        <v>0</v>
      </c>
      <c r="P80" s="18">
        <f t="shared" si="10"/>
        <v>33</v>
      </c>
      <c r="Q80" s="18">
        <f>VLOOKUP(A80,'Invoice_Courier Company'!B:C,2,0)</f>
        <v>0.2</v>
      </c>
      <c r="R80" s="18">
        <f t="shared" si="11"/>
        <v>0.5</v>
      </c>
      <c r="S80" s="6" t="str">
        <f>UPPER(VLOOKUP(A80,'Invoice_Courier Company'!B:G,5,FALSE))</f>
        <v>D</v>
      </c>
      <c r="T80" s="18">
        <f>VLOOKUP(A80,'Invoice_Courier Company'!B:H,7,0)</f>
        <v>45.4</v>
      </c>
      <c r="U80" s="18">
        <f t="shared" si="12"/>
        <v>-12.399999999999999</v>
      </c>
      <c r="V80" s="32">
        <f t="shared" si="13"/>
        <v>-0.37575757575757573</v>
      </c>
      <c r="W80" s="18">
        <f t="shared" si="14"/>
        <v>33</v>
      </c>
      <c r="X80" s="6">
        <f t="shared" si="15"/>
        <v>0</v>
      </c>
    </row>
    <row r="81" spans="1:24" x14ac:dyDescent="0.3">
      <c r="A81" s="7">
        <v>2001821679</v>
      </c>
      <c r="B81" s="7">
        <v>1091121031745</v>
      </c>
      <c r="C81" s="6">
        <f>VLOOKUP(A81,'Invoice_Courier Company'!B:E,4,FALSE)</f>
        <v>307026</v>
      </c>
      <c r="D81" s="6" t="str">
        <f>VLOOKUP(A81,'Invoice_Courier Company'!B:G,6,FALSE)</f>
        <v>Forward charges</v>
      </c>
      <c r="E81" s="6" t="str">
        <f t="shared" si="8"/>
        <v>Yes</v>
      </c>
      <c r="F81" s="6" t="str">
        <f t="shared" si="9"/>
        <v>No</v>
      </c>
      <c r="G81" s="18">
        <f>SUMIFS('Order Report_Company X'!E:E,'Order Report_Company X'!A:A,A81)/1000</f>
        <v>0.16500000000000001</v>
      </c>
      <c r="H81" s="18">
        <f>SUMIFS('Order Report_Company X'!E:E,'Order Report_Company X'!A:A,'Order Level Calculation_Company'!A81)</f>
        <v>165</v>
      </c>
      <c r="I81" s="18" cm="1">
        <f t="array" ref="I81">_xlfn.IFS($G81&lt;=0.5,0.5,$G81&lt;=1,1,$G81&lt;=1.5,1.5,$G81&lt;=2,2,$G81&lt;=2.5,2.5,$G81&lt;=3,3,$G81&lt;=3.5,3.5,$G81&lt;=4,4)</f>
        <v>0.5</v>
      </c>
      <c r="J81" s="18" cm="1">
        <f t="array" ref="J81">_xlfn.IFS($H81&lt;=500,0.5,$H81&lt;=1000,1,$H81&lt;=1500,1.5,$H81&lt;=2000,2,$H81&lt;=2500,2.5,$H81&lt;=3000,3,$H81&lt;=3500,3.5,$H81&lt;=4000,4)*1000</f>
        <v>500</v>
      </c>
      <c r="K81" s="6" t="str">
        <f>UPPER(VLOOKUP(C81,'Zones Pincode_Company X'!B:C,2,FALSE))</f>
        <v>B</v>
      </c>
      <c r="L81" s="18">
        <f>VLOOKUP(K81,'Rates_Courier Company'!$B$7:$C$12,2,0)</f>
        <v>33</v>
      </c>
      <c r="M81" s="18">
        <f>VLOOKUP(K81,'Rates_Courier Company'!$B$15:$C$20,2,FALSE)*(I81/0.5-1)</f>
        <v>0</v>
      </c>
      <c r="N81" s="6">
        <f>IF(F81="Yes",VLOOKUP(K81,'Rates_Courier Company'!$F$7:$G$12,2,0),0)</f>
        <v>0</v>
      </c>
      <c r="O81" s="6">
        <f>IF(F81="Yes",VLOOKUP(K81,'Rates_Courier Company'!$F$15:$G$20,2,0),0)*(I81/0.5 -1)</f>
        <v>0</v>
      </c>
      <c r="P81" s="18">
        <f t="shared" si="10"/>
        <v>33</v>
      </c>
      <c r="Q81" s="18">
        <f>VLOOKUP(A81,'Invoice_Courier Company'!B:C,2,0)</f>
        <v>0.2</v>
      </c>
      <c r="R81" s="18">
        <f t="shared" si="11"/>
        <v>0.5</v>
      </c>
      <c r="S81" s="6" t="str">
        <f>UPPER(VLOOKUP(A81,'Invoice_Courier Company'!B:G,5,FALSE))</f>
        <v>D</v>
      </c>
      <c r="T81" s="18">
        <f>VLOOKUP(A81,'Invoice_Courier Company'!B:H,7,0)</f>
        <v>45.4</v>
      </c>
      <c r="U81" s="18">
        <f t="shared" si="12"/>
        <v>-12.399999999999999</v>
      </c>
      <c r="V81" s="32">
        <f t="shared" si="13"/>
        <v>-0.37575757575757573</v>
      </c>
      <c r="W81" s="18">
        <f t="shared" si="14"/>
        <v>33</v>
      </c>
      <c r="X81" s="6">
        <f t="shared" si="15"/>
        <v>0</v>
      </c>
    </row>
    <row r="82" spans="1:24" x14ac:dyDescent="0.3">
      <c r="A82" s="7">
        <v>2001821742</v>
      </c>
      <c r="B82" s="7">
        <v>1091121034114</v>
      </c>
      <c r="C82" s="6">
        <f>VLOOKUP(A82,'Invoice_Courier Company'!B:E,4,FALSE)</f>
        <v>327025</v>
      </c>
      <c r="D82" s="6" t="str">
        <f>VLOOKUP(A82,'Invoice_Courier Company'!B:G,6,FALSE)</f>
        <v>Forward charges</v>
      </c>
      <c r="E82" s="6" t="str">
        <f t="shared" si="8"/>
        <v>Yes</v>
      </c>
      <c r="F82" s="6" t="str">
        <f t="shared" si="9"/>
        <v>No</v>
      </c>
      <c r="G82" s="18">
        <f>SUMIFS('Order Report_Company X'!E:E,'Order Report_Company X'!A:A,A82)/1000</f>
        <v>0.24</v>
      </c>
      <c r="H82" s="18">
        <f>SUMIFS('Order Report_Company X'!E:E,'Order Report_Company X'!A:A,'Order Level Calculation_Company'!A82)</f>
        <v>240</v>
      </c>
      <c r="I82" s="18" cm="1">
        <f t="array" ref="I82">_xlfn.IFS($G82&lt;=0.5,0.5,$G82&lt;=1,1,$G82&lt;=1.5,1.5,$G82&lt;=2,2,$G82&lt;=2.5,2.5,$G82&lt;=3,3,$G82&lt;=3.5,3.5,$G82&lt;=4,4)</f>
        <v>0.5</v>
      </c>
      <c r="J82" s="18" cm="1">
        <f t="array" ref="J82">_xlfn.IFS($H82&lt;=500,0.5,$H82&lt;=1000,1,$H82&lt;=1500,1.5,$H82&lt;=2000,2,$H82&lt;=2500,2.5,$H82&lt;=3000,3,$H82&lt;=3500,3.5,$H82&lt;=4000,4)*1000</f>
        <v>500</v>
      </c>
      <c r="K82" s="6" t="str">
        <f>UPPER(VLOOKUP(C82,'Zones Pincode_Company X'!B:C,2,FALSE))</f>
        <v>B</v>
      </c>
      <c r="L82" s="18">
        <f>VLOOKUP(K82,'Rates_Courier Company'!$B$7:$C$12,2,0)</f>
        <v>33</v>
      </c>
      <c r="M82" s="18">
        <f>VLOOKUP(K82,'Rates_Courier Company'!$B$15:$C$20,2,FALSE)*(I82/0.5-1)</f>
        <v>0</v>
      </c>
      <c r="N82" s="6">
        <f>IF(F82="Yes",VLOOKUP(K82,'Rates_Courier Company'!$F$7:$G$12,2,0),0)</f>
        <v>0</v>
      </c>
      <c r="O82" s="6">
        <f>IF(F82="Yes",VLOOKUP(K82,'Rates_Courier Company'!$F$15:$G$20,2,0),0)*(I82/0.5 -1)</f>
        <v>0</v>
      </c>
      <c r="P82" s="18">
        <f t="shared" si="10"/>
        <v>33</v>
      </c>
      <c r="Q82" s="18">
        <f>VLOOKUP(A82,'Invoice_Courier Company'!B:C,2,0)</f>
        <v>0.15</v>
      </c>
      <c r="R82" s="18">
        <f t="shared" si="11"/>
        <v>0.5</v>
      </c>
      <c r="S82" s="6" t="str">
        <f>UPPER(VLOOKUP(A82,'Invoice_Courier Company'!B:G,5,FALSE))</f>
        <v>D</v>
      </c>
      <c r="T82" s="18">
        <f>VLOOKUP(A82,'Invoice_Courier Company'!B:H,7,0)</f>
        <v>45.4</v>
      </c>
      <c r="U82" s="18">
        <f t="shared" si="12"/>
        <v>-12.399999999999999</v>
      </c>
      <c r="V82" s="32">
        <f t="shared" si="13"/>
        <v>-0.37575757575757573</v>
      </c>
      <c r="W82" s="18">
        <f t="shared" si="14"/>
        <v>33</v>
      </c>
      <c r="X82" s="6">
        <f t="shared" si="15"/>
        <v>0</v>
      </c>
    </row>
    <row r="83" spans="1:24" x14ac:dyDescent="0.3">
      <c r="A83" s="7">
        <v>2001821750</v>
      </c>
      <c r="B83" s="7">
        <v>1091121034350</v>
      </c>
      <c r="C83" s="6">
        <f>VLOOKUP(A83,'Invoice_Courier Company'!B:E,4,FALSE)</f>
        <v>313333</v>
      </c>
      <c r="D83" s="6" t="str">
        <f>VLOOKUP(A83,'Invoice_Courier Company'!B:G,6,FALSE)</f>
        <v>Forward charges</v>
      </c>
      <c r="E83" s="6" t="str">
        <f t="shared" si="8"/>
        <v>Yes</v>
      </c>
      <c r="F83" s="6" t="str">
        <f t="shared" si="9"/>
        <v>No</v>
      </c>
      <c r="G83" s="18">
        <f>SUMIFS('Order Report_Company X'!E:E,'Order Report_Company X'!A:A,A83)/1000</f>
        <v>0.755</v>
      </c>
      <c r="H83" s="18">
        <f>SUMIFS('Order Report_Company X'!E:E,'Order Report_Company X'!A:A,'Order Level Calculation_Company'!A83)</f>
        <v>755</v>
      </c>
      <c r="I83" s="18" cm="1">
        <f t="array" ref="I83">_xlfn.IFS($G83&lt;=0.5,0.5,$G83&lt;=1,1,$G83&lt;=1.5,1.5,$G83&lt;=2,2,$G83&lt;=2.5,2.5,$G83&lt;=3,3,$G83&lt;=3.5,3.5,$G83&lt;=4,4)</f>
        <v>1</v>
      </c>
      <c r="J83" s="18" cm="1">
        <f t="array" ref="J83">_xlfn.IFS($H83&lt;=500,0.5,$H83&lt;=1000,1,$H83&lt;=1500,1.5,$H83&lt;=2000,2,$H83&lt;=2500,2.5,$H83&lt;=3000,3,$H83&lt;=3500,3.5,$H83&lt;=4000,4)*1000</f>
        <v>1000</v>
      </c>
      <c r="K83" s="6" t="str">
        <f>UPPER(VLOOKUP(C83,'Zones Pincode_Company X'!B:C,2,FALSE))</f>
        <v>B</v>
      </c>
      <c r="L83" s="18">
        <f>VLOOKUP(K83,'Rates_Courier Company'!$B$7:$C$12,2,0)</f>
        <v>33</v>
      </c>
      <c r="M83" s="18">
        <f>VLOOKUP(K83,'Rates_Courier Company'!$B$15:$C$20,2,FALSE)*(I83/0.5-1)</f>
        <v>28.3</v>
      </c>
      <c r="N83" s="6">
        <f>IF(F83="Yes",VLOOKUP(K83,'Rates_Courier Company'!$F$7:$G$12,2,0),0)</f>
        <v>0</v>
      </c>
      <c r="O83" s="6">
        <f>IF(F83="Yes",VLOOKUP(K83,'Rates_Courier Company'!$F$15:$G$20,2,0),0)*(I83/0.5 -1)</f>
        <v>0</v>
      </c>
      <c r="P83" s="18">
        <f t="shared" si="10"/>
        <v>61.3</v>
      </c>
      <c r="Q83" s="18">
        <f>VLOOKUP(A83,'Invoice_Courier Company'!B:C,2,0)</f>
        <v>0.8</v>
      </c>
      <c r="R83" s="18">
        <f t="shared" si="11"/>
        <v>1</v>
      </c>
      <c r="S83" s="6" t="str">
        <f>UPPER(VLOOKUP(A83,'Invoice_Courier Company'!B:G,5,FALSE))</f>
        <v>D</v>
      </c>
      <c r="T83" s="18">
        <f>VLOOKUP(A83,'Invoice_Courier Company'!B:H,7,0)</f>
        <v>90.2</v>
      </c>
      <c r="U83" s="18">
        <f t="shared" si="12"/>
        <v>-28.900000000000006</v>
      </c>
      <c r="V83" s="32">
        <f t="shared" si="13"/>
        <v>-0.47145187601957594</v>
      </c>
      <c r="W83" s="18">
        <f t="shared" si="14"/>
        <v>61.3</v>
      </c>
      <c r="X83" s="6">
        <f t="shared" si="15"/>
        <v>0</v>
      </c>
    </row>
    <row r="84" spans="1:24" x14ac:dyDescent="0.3">
      <c r="A84" s="7">
        <v>2001821766</v>
      </c>
      <c r="B84" s="7">
        <v>1091121034641</v>
      </c>
      <c r="C84" s="6">
        <f>VLOOKUP(A84,'Invoice_Courier Company'!B:E,4,FALSE)</f>
        <v>313001</v>
      </c>
      <c r="D84" s="6" t="str">
        <f>VLOOKUP(A84,'Invoice_Courier Company'!B:G,6,FALSE)</f>
        <v>Forward charges</v>
      </c>
      <c r="E84" s="6" t="str">
        <f t="shared" si="8"/>
        <v>Yes</v>
      </c>
      <c r="F84" s="6" t="str">
        <f t="shared" si="9"/>
        <v>No</v>
      </c>
      <c r="G84" s="18">
        <f>SUMIFS('Order Report_Company X'!E:E,'Order Report_Company X'!A:A,A84)/1000</f>
        <v>0.24</v>
      </c>
      <c r="H84" s="18">
        <f>SUMIFS('Order Report_Company X'!E:E,'Order Report_Company X'!A:A,'Order Level Calculation_Company'!A84)</f>
        <v>240</v>
      </c>
      <c r="I84" s="18" cm="1">
        <f t="array" ref="I84">_xlfn.IFS($G84&lt;=0.5,0.5,$G84&lt;=1,1,$G84&lt;=1.5,1.5,$G84&lt;=2,2,$G84&lt;=2.5,2.5,$G84&lt;=3,3,$G84&lt;=3.5,3.5,$G84&lt;=4,4)</f>
        <v>0.5</v>
      </c>
      <c r="J84" s="18" cm="1">
        <f t="array" ref="J84">_xlfn.IFS($H84&lt;=500,0.5,$H84&lt;=1000,1,$H84&lt;=1500,1.5,$H84&lt;=2000,2,$H84&lt;=2500,2.5,$H84&lt;=3000,3,$H84&lt;=3500,3.5,$H84&lt;=4000,4)*1000</f>
        <v>500</v>
      </c>
      <c r="K84" s="6" t="str">
        <f>UPPER(VLOOKUP(C84,'Zones Pincode_Company X'!B:C,2,FALSE))</f>
        <v>B</v>
      </c>
      <c r="L84" s="18">
        <f>VLOOKUP(K84,'Rates_Courier Company'!$B$7:$C$12,2,0)</f>
        <v>33</v>
      </c>
      <c r="M84" s="18">
        <f>VLOOKUP(K84,'Rates_Courier Company'!$B$15:$C$20,2,FALSE)*(I84/0.5-1)</f>
        <v>0</v>
      </c>
      <c r="N84" s="6">
        <f>IF(F84="Yes",VLOOKUP(K84,'Rates_Courier Company'!$F$7:$G$12,2,0),0)</f>
        <v>0</v>
      </c>
      <c r="O84" s="6">
        <f>IF(F84="Yes",VLOOKUP(K84,'Rates_Courier Company'!$F$15:$G$20,2,0),0)*(I84/0.5 -1)</f>
        <v>0</v>
      </c>
      <c r="P84" s="18">
        <f t="shared" si="10"/>
        <v>33</v>
      </c>
      <c r="Q84" s="18">
        <f>VLOOKUP(A84,'Invoice_Courier Company'!B:C,2,0)</f>
        <v>0.2</v>
      </c>
      <c r="R84" s="18">
        <f t="shared" si="11"/>
        <v>0.5</v>
      </c>
      <c r="S84" s="6" t="str">
        <f>UPPER(VLOOKUP(A84,'Invoice_Courier Company'!B:G,5,FALSE))</f>
        <v>D</v>
      </c>
      <c r="T84" s="18">
        <f>VLOOKUP(A84,'Invoice_Courier Company'!B:H,7,0)</f>
        <v>45.4</v>
      </c>
      <c r="U84" s="18">
        <f t="shared" si="12"/>
        <v>-12.399999999999999</v>
      </c>
      <c r="V84" s="32">
        <f t="shared" si="13"/>
        <v>-0.37575757575757573</v>
      </c>
      <c r="W84" s="18">
        <f t="shared" si="14"/>
        <v>33</v>
      </c>
      <c r="X84" s="6">
        <f t="shared" si="15"/>
        <v>0</v>
      </c>
    </row>
    <row r="85" spans="1:24" x14ac:dyDescent="0.3">
      <c r="A85" s="7">
        <v>2001821995</v>
      </c>
      <c r="B85" s="7">
        <v>1091121183730</v>
      </c>
      <c r="C85" s="6">
        <f>VLOOKUP(A85,'Invoice_Courier Company'!B:E,4,FALSE)</f>
        <v>342008</v>
      </c>
      <c r="D85" s="6" t="str">
        <f>VLOOKUP(A85,'Invoice_Courier Company'!B:G,6,FALSE)</f>
        <v>Forward charges</v>
      </c>
      <c r="E85" s="6" t="str">
        <f t="shared" si="8"/>
        <v>Yes</v>
      </c>
      <c r="F85" s="6" t="str">
        <f t="shared" si="9"/>
        <v>No</v>
      </c>
      <c r="G85" s="18">
        <f>SUMIFS('Order Report_Company X'!E:E,'Order Report_Company X'!A:A,A85)/1000</f>
        <v>0.47699999999999998</v>
      </c>
      <c r="H85" s="18">
        <f>SUMIFS('Order Report_Company X'!E:E,'Order Report_Company X'!A:A,'Order Level Calculation_Company'!A85)</f>
        <v>477</v>
      </c>
      <c r="I85" s="18" cm="1">
        <f t="array" ref="I85">_xlfn.IFS($G85&lt;=0.5,0.5,$G85&lt;=1,1,$G85&lt;=1.5,1.5,$G85&lt;=2,2,$G85&lt;=2.5,2.5,$G85&lt;=3,3,$G85&lt;=3.5,3.5,$G85&lt;=4,4)</f>
        <v>0.5</v>
      </c>
      <c r="J85" s="18" cm="1">
        <f t="array" ref="J85">_xlfn.IFS($H85&lt;=500,0.5,$H85&lt;=1000,1,$H85&lt;=1500,1.5,$H85&lt;=2000,2,$H85&lt;=2500,2.5,$H85&lt;=3000,3,$H85&lt;=3500,3.5,$H85&lt;=4000,4)*1000</f>
        <v>500</v>
      </c>
      <c r="K85" s="6" t="str">
        <f>UPPER(VLOOKUP(C85,'Zones Pincode_Company X'!B:C,2,FALSE))</f>
        <v>B</v>
      </c>
      <c r="L85" s="18">
        <f>VLOOKUP(K85,'Rates_Courier Company'!$B$7:$C$12,2,0)</f>
        <v>33</v>
      </c>
      <c r="M85" s="18">
        <f>VLOOKUP(K85,'Rates_Courier Company'!$B$15:$C$20,2,FALSE)*(I85/0.5-1)</f>
        <v>0</v>
      </c>
      <c r="N85" s="6">
        <f>IF(F85="Yes",VLOOKUP(K85,'Rates_Courier Company'!$F$7:$G$12,2,0),0)</f>
        <v>0</v>
      </c>
      <c r="O85" s="6">
        <f>IF(F85="Yes",VLOOKUP(K85,'Rates_Courier Company'!$F$15:$G$20,2,0),0)*(I85/0.5 -1)</f>
        <v>0</v>
      </c>
      <c r="P85" s="18">
        <f t="shared" si="10"/>
        <v>33</v>
      </c>
      <c r="Q85" s="18">
        <f>VLOOKUP(A85,'Invoice_Courier Company'!B:C,2,0)</f>
        <v>0.5</v>
      </c>
      <c r="R85" s="18">
        <f t="shared" si="11"/>
        <v>0.5</v>
      </c>
      <c r="S85" s="6" t="str">
        <f>UPPER(VLOOKUP(A85,'Invoice_Courier Company'!B:G,5,FALSE))</f>
        <v>D</v>
      </c>
      <c r="T85" s="18">
        <f>VLOOKUP(A85,'Invoice_Courier Company'!B:H,7,0)</f>
        <v>45.4</v>
      </c>
      <c r="U85" s="18">
        <f t="shared" si="12"/>
        <v>-12.399999999999999</v>
      </c>
      <c r="V85" s="32">
        <f t="shared" si="13"/>
        <v>-0.37575757575757573</v>
      </c>
      <c r="W85" s="18">
        <f t="shared" si="14"/>
        <v>33</v>
      </c>
      <c r="X85" s="6">
        <f t="shared" si="15"/>
        <v>0</v>
      </c>
    </row>
    <row r="86" spans="1:24" x14ac:dyDescent="0.3">
      <c r="A86" s="7">
        <v>2001821502</v>
      </c>
      <c r="B86" s="7">
        <v>1091121185863</v>
      </c>
      <c r="C86" s="6">
        <f>VLOOKUP(A86,'Invoice_Courier Company'!B:E,4,FALSE)</f>
        <v>314401</v>
      </c>
      <c r="D86" s="6" t="str">
        <f>VLOOKUP(A86,'Invoice_Courier Company'!B:G,6,FALSE)</f>
        <v>Forward charges</v>
      </c>
      <c r="E86" s="6" t="str">
        <f t="shared" si="8"/>
        <v>Yes</v>
      </c>
      <c r="F86" s="6" t="str">
        <f t="shared" si="9"/>
        <v>No</v>
      </c>
      <c r="G86" s="18">
        <f>SUMIFS('Order Report_Company X'!E:E,'Order Report_Company X'!A:A,A86)/1000</f>
        <v>0.55800000000000005</v>
      </c>
      <c r="H86" s="18">
        <f>SUMIFS('Order Report_Company X'!E:E,'Order Report_Company X'!A:A,'Order Level Calculation_Company'!A86)</f>
        <v>558</v>
      </c>
      <c r="I86" s="18" cm="1">
        <f t="array" ref="I86">_xlfn.IFS($G86&lt;=0.5,0.5,$G86&lt;=1,1,$G86&lt;=1.5,1.5,$G86&lt;=2,2,$G86&lt;=2.5,2.5,$G86&lt;=3,3,$G86&lt;=3.5,3.5,$G86&lt;=4,4)</f>
        <v>1</v>
      </c>
      <c r="J86" s="18" cm="1">
        <f t="array" ref="J86">_xlfn.IFS($H86&lt;=500,0.5,$H86&lt;=1000,1,$H86&lt;=1500,1.5,$H86&lt;=2000,2,$H86&lt;=2500,2.5,$H86&lt;=3000,3,$H86&lt;=3500,3.5,$H86&lt;=4000,4)*1000</f>
        <v>1000</v>
      </c>
      <c r="K86" s="6" t="str">
        <f>UPPER(VLOOKUP(C86,'Zones Pincode_Company X'!B:C,2,FALSE))</f>
        <v>B</v>
      </c>
      <c r="L86" s="18">
        <f>VLOOKUP(K86,'Rates_Courier Company'!$B$7:$C$12,2,0)</f>
        <v>33</v>
      </c>
      <c r="M86" s="18">
        <f>VLOOKUP(K86,'Rates_Courier Company'!$B$15:$C$20,2,FALSE)*(I86/0.5-1)</f>
        <v>28.3</v>
      </c>
      <c r="N86" s="6">
        <f>IF(F86="Yes",VLOOKUP(K86,'Rates_Courier Company'!$F$7:$G$12,2,0),0)</f>
        <v>0</v>
      </c>
      <c r="O86" s="6">
        <f>IF(F86="Yes",VLOOKUP(K86,'Rates_Courier Company'!$F$15:$G$20,2,0),0)*(I86/0.5 -1)</f>
        <v>0</v>
      </c>
      <c r="P86" s="18">
        <f t="shared" si="10"/>
        <v>61.3</v>
      </c>
      <c r="Q86" s="18">
        <f>VLOOKUP(A86,'Invoice_Courier Company'!B:C,2,0)</f>
        <v>0.6</v>
      </c>
      <c r="R86" s="18">
        <f t="shared" si="11"/>
        <v>1</v>
      </c>
      <c r="S86" s="6" t="str">
        <f>UPPER(VLOOKUP(A86,'Invoice_Courier Company'!B:G,5,FALSE))</f>
        <v>D</v>
      </c>
      <c r="T86" s="18">
        <f>VLOOKUP(A86,'Invoice_Courier Company'!B:H,7,0)</f>
        <v>90.2</v>
      </c>
      <c r="U86" s="18">
        <f t="shared" si="12"/>
        <v>-28.900000000000006</v>
      </c>
      <c r="V86" s="32">
        <f t="shared" si="13"/>
        <v>-0.47145187601957594</v>
      </c>
      <c r="W86" s="18">
        <f t="shared" si="14"/>
        <v>61.3</v>
      </c>
      <c r="X86" s="6">
        <f t="shared" si="15"/>
        <v>0</v>
      </c>
    </row>
    <row r="87" spans="1:24" x14ac:dyDescent="0.3">
      <c r="A87" s="7">
        <v>2001822466</v>
      </c>
      <c r="B87" s="7">
        <v>1091121305541</v>
      </c>
      <c r="C87" s="6">
        <f>VLOOKUP(A87,'Invoice_Courier Company'!B:E,4,FALSE)</f>
        <v>342301</v>
      </c>
      <c r="D87" s="6" t="str">
        <f>VLOOKUP(A87,'Invoice_Courier Company'!B:G,6,FALSE)</f>
        <v>Forward charges</v>
      </c>
      <c r="E87" s="6" t="str">
        <f t="shared" si="8"/>
        <v>Yes</v>
      </c>
      <c r="F87" s="6" t="str">
        <f t="shared" si="9"/>
        <v>No</v>
      </c>
      <c r="G87" s="18">
        <f>SUMIFS('Order Report_Company X'!E:E,'Order Report_Company X'!A:A,A87)/1000</f>
        <v>1.3759999999999999</v>
      </c>
      <c r="H87" s="18">
        <f>SUMIFS('Order Report_Company X'!E:E,'Order Report_Company X'!A:A,'Order Level Calculation_Company'!A87)</f>
        <v>1376</v>
      </c>
      <c r="I87" s="18" cm="1">
        <f t="array" ref="I87">_xlfn.IFS($G87&lt;=0.5,0.5,$G87&lt;=1,1,$G87&lt;=1.5,1.5,$G87&lt;=2,2,$G87&lt;=2.5,2.5,$G87&lt;=3,3,$G87&lt;=3.5,3.5,$G87&lt;=4,4)</f>
        <v>1.5</v>
      </c>
      <c r="J87" s="18" cm="1">
        <f t="array" ref="J87">_xlfn.IFS($H87&lt;=500,0.5,$H87&lt;=1000,1,$H87&lt;=1500,1.5,$H87&lt;=2000,2,$H87&lt;=2500,2.5,$H87&lt;=3000,3,$H87&lt;=3500,3.5,$H87&lt;=4000,4)*1000</f>
        <v>1500</v>
      </c>
      <c r="K87" s="6" t="str">
        <f>UPPER(VLOOKUP(C87,'Zones Pincode_Company X'!B:C,2,FALSE))</f>
        <v>B</v>
      </c>
      <c r="L87" s="18">
        <f>VLOOKUP(K87,'Rates_Courier Company'!$B$7:$C$12,2,0)</f>
        <v>33</v>
      </c>
      <c r="M87" s="18">
        <f>VLOOKUP(K87,'Rates_Courier Company'!$B$15:$C$20,2,FALSE)*(I87/0.5-1)</f>
        <v>56.6</v>
      </c>
      <c r="N87" s="6">
        <f>IF(F87="Yes",VLOOKUP(K87,'Rates_Courier Company'!$F$7:$G$12,2,0),0)</f>
        <v>0</v>
      </c>
      <c r="O87" s="6">
        <f>IF(F87="Yes",VLOOKUP(K87,'Rates_Courier Company'!$F$15:$G$20,2,0),0)*(I87/0.5 -1)</f>
        <v>0</v>
      </c>
      <c r="P87" s="18">
        <f t="shared" si="10"/>
        <v>89.6</v>
      </c>
      <c r="Q87" s="18">
        <f>VLOOKUP(A87,'Invoice_Courier Company'!B:C,2,0)</f>
        <v>1.1000000000000001</v>
      </c>
      <c r="R87" s="18">
        <f t="shared" si="11"/>
        <v>1.5</v>
      </c>
      <c r="S87" s="6" t="str">
        <f>UPPER(VLOOKUP(A87,'Invoice_Courier Company'!B:G,5,FALSE))</f>
        <v>D</v>
      </c>
      <c r="T87" s="18">
        <f>VLOOKUP(A87,'Invoice_Courier Company'!B:H,7,0)</f>
        <v>135</v>
      </c>
      <c r="U87" s="18">
        <f t="shared" si="12"/>
        <v>-45.400000000000006</v>
      </c>
      <c r="V87" s="32">
        <f t="shared" si="13"/>
        <v>-0.50669642857142871</v>
      </c>
      <c r="W87" s="18">
        <f t="shared" si="14"/>
        <v>89.6</v>
      </c>
      <c r="X87" s="6">
        <f t="shared" si="15"/>
        <v>0</v>
      </c>
    </row>
    <row r="88" spans="1:24" x14ac:dyDescent="0.3">
      <c r="A88" s="7">
        <v>2001820690</v>
      </c>
      <c r="B88" s="7">
        <v>1091121306101</v>
      </c>
      <c r="C88" s="6">
        <f>VLOOKUP(A88,'Invoice_Courier Company'!B:E,4,FALSE)</f>
        <v>313003</v>
      </c>
      <c r="D88" s="6" t="str">
        <f>VLOOKUP(A88,'Invoice_Courier Company'!B:G,6,FALSE)</f>
        <v>Forward charges</v>
      </c>
      <c r="E88" s="6" t="str">
        <f t="shared" si="8"/>
        <v>Yes</v>
      </c>
      <c r="F88" s="6" t="str">
        <f t="shared" si="9"/>
        <v>No</v>
      </c>
      <c r="G88" s="18">
        <f>SUMIFS('Order Report_Company X'!E:E,'Order Report_Company X'!A:A,A88)/1000</f>
        <v>6.5000000000000002E-2</v>
      </c>
      <c r="H88" s="18">
        <f>SUMIFS('Order Report_Company X'!E:E,'Order Report_Company X'!A:A,'Order Level Calculation_Company'!A88)</f>
        <v>65</v>
      </c>
      <c r="I88" s="18" cm="1">
        <f t="array" ref="I88">_xlfn.IFS($G88&lt;=0.5,0.5,$G88&lt;=1,1,$G88&lt;=1.5,1.5,$G88&lt;=2,2,$G88&lt;=2.5,2.5,$G88&lt;=3,3,$G88&lt;=3.5,3.5,$G88&lt;=4,4)</f>
        <v>0.5</v>
      </c>
      <c r="J88" s="18" cm="1">
        <f t="array" ref="J88">_xlfn.IFS($H88&lt;=500,0.5,$H88&lt;=1000,1,$H88&lt;=1500,1.5,$H88&lt;=2000,2,$H88&lt;=2500,2.5,$H88&lt;=3000,3,$H88&lt;=3500,3.5,$H88&lt;=4000,4)*1000</f>
        <v>500</v>
      </c>
      <c r="K88" s="6" t="str">
        <f>UPPER(VLOOKUP(C88,'Zones Pincode_Company X'!B:C,2,FALSE))</f>
        <v>B</v>
      </c>
      <c r="L88" s="18">
        <f>VLOOKUP(K88,'Rates_Courier Company'!$B$7:$C$12,2,0)</f>
        <v>33</v>
      </c>
      <c r="M88" s="18">
        <f>VLOOKUP(K88,'Rates_Courier Company'!$B$15:$C$20,2,FALSE)*(I88/0.5-1)</f>
        <v>0</v>
      </c>
      <c r="N88" s="6">
        <f>IF(F88="Yes",VLOOKUP(K88,'Rates_Courier Company'!$F$7:$G$12,2,0),0)</f>
        <v>0</v>
      </c>
      <c r="O88" s="6">
        <f>IF(F88="Yes",VLOOKUP(K88,'Rates_Courier Company'!$F$15:$G$20,2,0),0)*(I88/0.5 -1)</f>
        <v>0</v>
      </c>
      <c r="P88" s="18">
        <f t="shared" si="10"/>
        <v>33</v>
      </c>
      <c r="Q88" s="18">
        <f>VLOOKUP(A88,'Invoice_Courier Company'!B:C,2,0)</f>
        <v>0.15</v>
      </c>
      <c r="R88" s="18">
        <f t="shared" si="11"/>
        <v>0.5</v>
      </c>
      <c r="S88" s="6" t="str">
        <f>UPPER(VLOOKUP(A88,'Invoice_Courier Company'!B:G,5,FALSE))</f>
        <v>D</v>
      </c>
      <c r="T88" s="18">
        <f>VLOOKUP(A88,'Invoice_Courier Company'!B:H,7,0)</f>
        <v>45.4</v>
      </c>
      <c r="U88" s="18">
        <f t="shared" si="12"/>
        <v>-12.399999999999999</v>
      </c>
      <c r="V88" s="32">
        <f t="shared" si="13"/>
        <v>-0.37575757575757573</v>
      </c>
      <c r="W88" s="18">
        <f t="shared" si="14"/>
        <v>33</v>
      </c>
      <c r="X88" s="6">
        <f t="shared" si="15"/>
        <v>0</v>
      </c>
    </row>
    <row r="89" spans="1:24" x14ac:dyDescent="0.3">
      <c r="A89" s="7">
        <v>2001811604</v>
      </c>
      <c r="B89" s="7">
        <v>1091118004245</v>
      </c>
      <c r="C89" s="6">
        <f>VLOOKUP(A89,'Invoice_Courier Company'!B:E,4,FALSE)</f>
        <v>173212</v>
      </c>
      <c r="D89" s="6" t="str">
        <f>VLOOKUP(A89,'Invoice_Courier Company'!B:G,6,FALSE)</f>
        <v>Forward charges</v>
      </c>
      <c r="E89" s="6" t="str">
        <f t="shared" si="8"/>
        <v>Yes</v>
      </c>
      <c r="F89" s="6" t="str">
        <f t="shared" si="9"/>
        <v>No</v>
      </c>
      <c r="G89" s="18">
        <f>SUMIFS('Order Report_Company X'!E:E,'Order Report_Company X'!A:A,A89)/1000</f>
        <v>0.72099999999999997</v>
      </c>
      <c r="H89" s="18">
        <f>SUMIFS('Order Report_Company X'!E:E,'Order Report_Company X'!A:A,'Order Level Calculation_Company'!A89)</f>
        <v>721</v>
      </c>
      <c r="I89" s="18" cm="1">
        <f t="array" ref="I89">_xlfn.IFS($G89&lt;=0.5,0.5,$G89&lt;=1,1,$G89&lt;=1.5,1.5,$G89&lt;=2,2,$G89&lt;=2.5,2.5,$G89&lt;=3,3,$G89&lt;=3.5,3.5,$G89&lt;=4,4)</f>
        <v>1</v>
      </c>
      <c r="J89" s="18" cm="1">
        <f t="array" ref="J89">_xlfn.IFS($H89&lt;=500,0.5,$H89&lt;=1000,1,$H89&lt;=1500,1.5,$H89&lt;=2000,2,$H89&lt;=2500,2.5,$H89&lt;=3000,3,$H89&lt;=3500,3.5,$H89&lt;=4000,4)*1000</f>
        <v>1000</v>
      </c>
      <c r="K89" s="6" t="str">
        <f>UPPER(VLOOKUP(C89,'Zones Pincode_Company X'!B:C,2,FALSE))</f>
        <v>E</v>
      </c>
      <c r="L89" s="18">
        <f>VLOOKUP(K89,'Rates_Courier Company'!$B$7:$C$12,2,0)</f>
        <v>56.6</v>
      </c>
      <c r="M89" s="18">
        <f>VLOOKUP(K89,'Rates_Courier Company'!$B$15:$C$20,2,FALSE)*(I89/0.5-1)</f>
        <v>55.5</v>
      </c>
      <c r="N89" s="6">
        <f>IF(F89="Yes",VLOOKUP(K89,'Rates_Courier Company'!$F$7:$G$12,2,0),0)</f>
        <v>0</v>
      </c>
      <c r="O89" s="6">
        <f>IF(F89="Yes",VLOOKUP(K89,'Rates_Courier Company'!$F$15:$G$20,2,0),0)*(I89/0.5 -1)</f>
        <v>0</v>
      </c>
      <c r="P89" s="18">
        <f t="shared" si="10"/>
        <v>112.1</v>
      </c>
      <c r="Q89" s="18">
        <f>VLOOKUP(A89,'Invoice_Courier Company'!B:C,2,0)</f>
        <v>0.8</v>
      </c>
      <c r="R89" s="18">
        <f t="shared" si="11"/>
        <v>1</v>
      </c>
      <c r="S89" s="6" t="str">
        <f>UPPER(VLOOKUP(A89,'Invoice_Courier Company'!B:G,5,FALSE))</f>
        <v>B</v>
      </c>
      <c r="T89" s="18">
        <f>VLOOKUP(A89,'Invoice_Courier Company'!B:H,7,0)</f>
        <v>61.3</v>
      </c>
      <c r="U89" s="18">
        <f t="shared" si="12"/>
        <v>50.8</v>
      </c>
      <c r="V89" s="32">
        <f t="shared" si="13"/>
        <v>0.45316681534344333</v>
      </c>
      <c r="W89" s="18">
        <f t="shared" si="14"/>
        <v>112.1</v>
      </c>
      <c r="X89" s="6">
        <f t="shared" si="15"/>
        <v>0</v>
      </c>
    </row>
    <row r="90" spans="1:24" x14ac:dyDescent="0.3">
      <c r="A90" s="7">
        <v>2001819252</v>
      </c>
      <c r="B90" s="7">
        <v>1091120352712</v>
      </c>
      <c r="C90" s="6">
        <f>VLOOKUP(A90,'Invoice_Courier Company'!B:E,4,FALSE)</f>
        <v>174101</v>
      </c>
      <c r="D90" s="6" t="str">
        <f>VLOOKUP(A90,'Invoice_Courier Company'!B:G,6,FALSE)</f>
        <v>Forward charges</v>
      </c>
      <c r="E90" s="6" t="str">
        <f t="shared" si="8"/>
        <v>Yes</v>
      </c>
      <c r="F90" s="6" t="str">
        <f t="shared" si="9"/>
        <v>No</v>
      </c>
      <c r="G90" s="18">
        <f>SUMIFS('Order Report_Company X'!E:E,'Order Report_Company X'!A:A,A90)/1000</f>
        <v>0.27</v>
      </c>
      <c r="H90" s="18">
        <f>SUMIFS('Order Report_Company X'!E:E,'Order Report_Company X'!A:A,'Order Level Calculation_Company'!A90)</f>
        <v>270</v>
      </c>
      <c r="I90" s="18" cm="1">
        <f t="array" ref="I90">_xlfn.IFS($G90&lt;=0.5,0.5,$G90&lt;=1,1,$G90&lt;=1.5,1.5,$G90&lt;=2,2,$G90&lt;=2.5,2.5,$G90&lt;=3,3,$G90&lt;=3.5,3.5,$G90&lt;=4,4)</f>
        <v>0.5</v>
      </c>
      <c r="J90" s="18" cm="1">
        <f t="array" ref="J90">_xlfn.IFS($H90&lt;=500,0.5,$H90&lt;=1000,1,$H90&lt;=1500,1.5,$H90&lt;=2000,2,$H90&lt;=2500,2.5,$H90&lt;=3000,3,$H90&lt;=3500,3.5,$H90&lt;=4000,4)*1000</f>
        <v>500</v>
      </c>
      <c r="K90" s="6" t="str">
        <f>UPPER(VLOOKUP(C90,'Zones Pincode_Company X'!B:C,2,FALSE))</f>
        <v>E</v>
      </c>
      <c r="L90" s="18">
        <f>VLOOKUP(K90,'Rates_Courier Company'!$B$7:$C$12,2,0)</f>
        <v>56.6</v>
      </c>
      <c r="M90" s="18">
        <f>VLOOKUP(K90,'Rates_Courier Company'!$B$15:$C$20,2,FALSE)*(I90/0.5-1)</f>
        <v>0</v>
      </c>
      <c r="N90" s="6">
        <f>IF(F90="Yes",VLOOKUP(K90,'Rates_Courier Company'!$F$7:$G$12,2,0),0)</f>
        <v>0</v>
      </c>
      <c r="O90" s="6">
        <f>IF(F90="Yes",VLOOKUP(K90,'Rates_Courier Company'!$F$15:$G$20,2,0),0)*(I90/0.5 -1)</f>
        <v>0</v>
      </c>
      <c r="P90" s="18">
        <f t="shared" si="10"/>
        <v>56.6</v>
      </c>
      <c r="Q90" s="18">
        <f>VLOOKUP(A90,'Invoice_Courier Company'!B:C,2,0)</f>
        <v>0.3</v>
      </c>
      <c r="R90" s="18">
        <f t="shared" si="11"/>
        <v>0.5</v>
      </c>
      <c r="S90" s="6" t="str">
        <f>UPPER(VLOOKUP(A90,'Invoice_Courier Company'!B:G,5,FALSE))</f>
        <v>B</v>
      </c>
      <c r="T90" s="18">
        <f>VLOOKUP(A90,'Invoice_Courier Company'!B:H,7,0)</f>
        <v>33</v>
      </c>
      <c r="U90" s="18">
        <f t="shared" si="12"/>
        <v>23.6</v>
      </c>
      <c r="V90" s="32">
        <f t="shared" si="13"/>
        <v>0.41696113074204949</v>
      </c>
      <c r="W90" s="18">
        <f t="shared" si="14"/>
        <v>56.6</v>
      </c>
      <c r="X90" s="6">
        <f t="shared" si="15"/>
        <v>0</v>
      </c>
    </row>
    <row r="91" spans="1:24" x14ac:dyDescent="0.3">
      <c r="A91" s="7">
        <v>2001827036</v>
      </c>
      <c r="B91" s="7">
        <v>1091122418320</v>
      </c>
      <c r="C91" s="6">
        <f>VLOOKUP(A91,'Invoice_Courier Company'!B:E,4,FALSE)</f>
        <v>173213</v>
      </c>
      <c r="D91" s="6" t="str">
        <f>VLOOKUP(A91,'Invoice_Courier Company'!B:G,6,FALSE)</f>
        <v>Forward charges</v>
      </c>
      <c r="E91" s="6" t="str">
        <f t="shared" si="8"/>
        <v>Yes</v>
      </c>
      <c r="F91" s="6" t="str">
        <f t="shared" si="9"/>
        <v>No</v>
      </c>
      <c r="G91" s="18">
        <f>SUMIFS('Order Report_Company X'!E:E,'Order Report_Company X'!A:A,A91)/1000</f>
        <v>1.6759999999999999</v>
      </c>
      <c r="H91" s="18">
        <f>SUMIFS('Order Report_Company X'!E:E,'Order Report_Company X'!A:A,'Order Level Calculation_Company'!A91)</f>
        <v>1676</v>
      </c>
      <c r="I91" s="18" cm="1">
        <f t="array" ref="I91">_xlfn.IFS($G91&lt;=0.5,0.5,$G91&lt;=1,1,$G91&lt;=1.5,1.5,$G91&lt;=2,2,$G91&lt;=2.5,2.5,$G91&lt;=3,3,$G91&lt;=3.5,3.5,$G91&lt;=4,4)</f>
        <v>2</v>
      </c>
      <c r="J91" s="18" cm="1">
        <f t="array" ref="J91">_xlfn.IFS($H91&lt;=500,0.5,$H91&lt;=1000,1,$H91&lt;=1500,1.5,$H91&lt;=2000,2,$H91&lt;=2500,2.5,$H91&lt;=3000,3,$H91&lt;=3500,3.5,$H91&lt;=4000,4)*1000</f>
        <v>2000</v>
      </c>
      <c r="K91" s="6" t="str">
        <f>UPPER(VLOOKUP(C91,'Zones Pincode_Company X'!B:C,2,FALSE))</f>
        <v>E</v>
      </c>
      <c r="L91" s="18">
        <f>VLOOKUP(K91,'Rates_Courier Company'!$B$7:$C$12,2,0)</f>
        <v>56.6</v>
      </c>
      <c r="M91" s="18">
        <f>VLOOKUP(K91,'Rates_Courier Company'!$B$15:$C$20,2,FALSE)*(I91/0.5-1)</f>
        <v>166.5</v>
      </c>
      <c r="N91" s="6">
        <f>IF(F91="Yes",VLOOKUP(K91,'Rates_Courier Company'!$F$7:$G$12,2,0),0)</f>
        <v>0</v>
      </c>
      <c r="O91" s="6">
        <f>IF(F91="Yes",VLOOKUP(K91,'Rates_Courier Company'!$F$15:$G$20,2,0),0)*(I91/0.5 -1)</f>
        <v>0</v>
      </c>
      <c r="P91" s="18">
        <f t="shared" si="10"/>
        <v>223.1</v>
      </c>
      <c r="Q91" s="18">
        <f>VLOOKUP(A91,'Invoice_Courier Company'!B:C,2,0)</f>
        <v>1.6</v>
      </c>
      <c r="R91" s="18">
        <f t="shared" si="11"/>
        <v>2</v>
      </c>
      <c r="S91" s="6" t="str">
        <f>UPPER(VLOOKUP(A91,'Invoice_Courier Company'!B:G,5,FALSE))</f>
        <v>B</v>
      </c>
      <c r="T91" s="18">
        <f>VLOOKUP(A91,'Invoice_Courier Company'!B:H,7,0)</f>
        <v>117.9</v>
      </c>
      <c r="U91" s="18">
        <f t="shared" si="12"/>
        <v>105.19999999999999</v>
      </c>
      <c r="V91" s="32">
        <f t="shared" si="13"/>
        <v>0.47153742716270725</v>
      </c>
      <c r="W91" s="18">
        <f t="shared" si="14"/>
        <v>223.1</v>
      </c>
      <c r="X91" s="6">
        <f t="shared" si="15"/>
        <v>0</v>
      </c>
    </row>
    <row r="92" spans="1:24" x14ac:dyDescent="0.3">
      <c r="A92" s="7">
        <v>2001806304</v>
      </c>
      <c r="B92" s="7">
        <v>1091117222360</v>
      </c>
      <c r="C92" s="6">
        <f>VLOOKUP(A92,'Invoice_Courier Company'!B:E,4,FALSE)</f>
        <v>302017</v>
      </c>
      <c r="D92" s="6" t="str">
        <f>VLOOKUP(A92,'Invoice_Courier Company'!B:G,6,FALSE)</f>
        <v>Forward charges</v>
      </c>
      <c r="E92" s="6" t="str">
        <f t="shared" si="8"/>
        <v>Yes</v>
      </c>
      <c r="F92" s="6" t="str">
        <f t="shared" si="9"/>
        <v>No</v>
      </c>
      <c r="G92" s="18">
        <f>SUMIFS('Order Report_Company X'!E:E,'Order Report_Company X'!A:A,A92)/1000</f>
        <v>0.5</v>
      </c>
      <c r="H92" s="18">
        <f>SUMIFS('Order Report_Company X'!E:E,'Order Report_Company X'!A:A,'Order Level Calculation_Company'!A92)</f>
        <v>500</v>
      </c>
      <c r="I92" s="18" cm="1">
        <f t="array" ref="I92">_xlfn.IFS($G92&lt;=0.5,0.5,$G92&lt;=1,1,$G92&lt;=1.5,1.5,$G92&lt;=2,2,$G92&lt;=2.5,2.5,$G92&lt;=3,3,$G92&lt;=3.5,3.5,$G92&lt;=4,4)</f>
        <v>0.5</v>
      </c>
      <c r="J92" s="18" cm="1">
        <f t="array" ref="J92">_xlfn.IFS($H92&lt;=500,0.5,$H92&lt;=1000,1,$H92&lt;=1500,1.5,$H92&lt;=2000,2,$H92&lt;=2500,2.5,$H92&lt;=3000,3,$H92&lt;=3500,3.5,$H92&lt;=4000,4)*1000</f>
        <v>500</v>
      </c>
      <c r="K92" s="6" t="str">
        <f>UPPER(VLOOKUP(C92,'Zones Pincode_Company X'!B:C,2,FALSE))</f>
        <v>B</v>
      </c>
      <c r="L92" s="18">
        <f>VLOOKUP(K92,'Rates_Courier Company'!$B$7:$C$12,2,0)</f>
        <v>33</v>
      </c>
      <c r="M92" s="18">
        <f>VLOOKUP(K92,'Rates_Courier Company'!$B$15:$C$20,2,FALSE)*(I92/0.5-1)</f>
        <v>0</v>
      </c>
      <c r="N92" s="6">
        <f>IF(F92="Yes",VLOOKUP(K92,'Rates_Courier Company'!$F$7:$G$12,2,0),0)</f>
        <v>0</v>
      </c>
      <c r="O92" s="6">
        <f>IF(F92="Yes",VLOOKUP(K92,'Rates_Courier Company'!$F$15:$G$20,2,0),0)*(I92/0.5 -1)</f>
        <v>0</v>
      </c>
      <c r="P92" s="18">
        <f t="shared" si="10"/>
        <v>33</v>
      </c>
      <c r="Q92" s="18">
        <f>VLOOKUP(A92,'Invoice_Courier Company'!B:C,2,0)</f>
        <v>0.71</v>
      </c>
      <c r="R92" s="18">
        <f t="shared" si="11"/>
        <v>1</v>
      </c>
      <c r="S92" s="6" t="str">
        <f>UPPER(VLOOKUP(A92,'Invoice_Courier Company'!B:G,5,FALSE))</f>
        <v>D</v>
      </c>
      <c r="T92" s="18">
        <f>VLOOKUP(A92,'Invoice_Courier Company'!B:H,7,0)</f>
        <v>90.2</v>
      </c>
      <c r="U92" s="18">
        <f t="shared" si="12"/>
        <v>-57.2</v>
      </c>
      <c r="V92" s="32">
        <f t="shared" si="13"/>
        <v>-1.7333333333333334</v>
      </c>
      <c r="W92" s="18">
        <f t="shared" si="14"/>
        <v>33</v>
      </c>
      <c r="X92" s="6">
        <f t="shared" si="15"/>
        <v>0</v>
      </c>
    </row>
    <row r="93" spans="1:24" x14ac:dyDescent="0.3">
      <c r="A93" s="7">
        <v>2001806768</v>
      </c>
      <c r="B93" s="7">
        <v>1091117227116</v>
      </c>
      <c r="C93" s="6">
        <f>VLOOKUP(A93,'Invoice_Courier Company'!B:E,4,FALSE)</f>
        <v>322201</v>
      </c>
      <c r="D93" s="6" t="str">
        <f>VLOOKUP(A93,'Invoice_Courier Company'!B:G,6,FALSE)</f>
        <v>Forward charges</v>
      </c>
      <c r="E93" s="6" t="str">
        <f t="shared" si="8"/>
        <v>Yes</v>
      </c>
      <c r="F93" s="6" t="str">
        <f t="shared" si="9"/>
        <v>No</v>
      </c>
      <c r="G93" s="18">
        <f>SUMIFS('Order Report_Company X'!E:E,'Order Report_Company X'!A:A,A93)/1000</f>
        <v>0.84</v>
      </c>
      <c r="H93" s="18">
        <f>SUMIFS('Order Report_Company X'!E:E,'Order Report_Company X'!A:A,'Order Level Calculation_Company'!A93)</f>
        <v>840</v>
      </c>
      <c r="I93" s="18" cm="1">
        <f t="array" ref="I93">_xlfn.IFS($G93&lt;=0.5,0.5,$G93&lt;=1,1,$G93&lt;=1.5,1.5,$G93&lt;=2,2,$G93&lt;=2.5,2.5,$G93&lt;=3,3,$G93&lt;=3.5,3.5,$G93&lt;=4,4)</f>
        <v>1</v>
      </c>
      <c r="J93" s="18" cm="1">
        <f t="array" ref="J93">_xlfn.IFS($H93&lt;=500,0.5,$H93&lt;=1000,1,$H93&lt;=1500,1.5,$H93&lt;=2000,2,$H93&lt;=2500,2.5,$H93&lt;=3000,3,$H93&lt;=3500,3.5,$H93&lt;=4000,4)*1000</f>
        <v>1000</v>
      </c>
      <c r="K93" s="6" t="str">
        <f>UPPER(VLOOKUP(C93,'Zones Pincode_Company X'!B:C,2,FALSE))</f>
        <v>B</v>
      </c>
      <c r="L93" s="18">
        <f>VLOOKUP(K93,'Rates_Courier Company'!$B$7:$C$12,2,0)</f>
        <v>33</v>
      </c>
      <c r="M93" s="18">
        <f>VLOOKUP(K93,'Rates_Courier Company'!$B$15:$C$20,2,FALSE)*(I93/0.5-1)</f>
        <v>28.3</v>
      </c>
      <c r="N93" s="6">
        <f>IF(F93="Yes",VLOOKUP(K93,'Rates_Courier Company'!$F$7:$G$12,2,0),0)</f>
        <v>0</v>
      </c>
      <c r="O93" s="6">
        <f>IF(F93="Yes",VLOOKUP(K93,'Rates_Courier Company'!$F$15:$G$20,2,0),0)*(I93/0.5 -1)</f>
        <v>0</v>
      </c>
      <c r="P93" s="18">
        <f t="shared" si="10"/>
        <v>61.3</v>
      </c>
      <c r="Q93" s="18">
        <f>VLOOKUP(A93,'Invoice_Courier Company'!B:C,2,0)</f>
        <v>1.02</v>
      </c>
      <c r="R93" s="18">
        <f t="shared" si="11"/>
        <v>1.5</v>
      </c>
      <c r="S93" s="6" t="str">
        <f>UPPER(VLOOKUP(A93,'Invoice_Courier Company'!B:G,5,FALSE))</f>
        <v>D</v>
      </c>
      <c r="T93" s="18">
        <f>VLOOKUP(A93,'Invoice_Courier Company'!B:H,7,0)</f>
        <v>135</v>
      </c>
      <c r="U93" s="18">
        <f t="shared" si="12"/>
        <v>-73.7</v>
      </c>
      <c r="V93" s="32">
        <f t="shared" si="13"/>
        <v>-1.2022838499184341</v>
      </c>
      <c r="W93" s="18">
        <f t="shared" si="14"/>
        <v>61.3</v>
      </c>
      <c r="X93" s="6">
        <f t="shared" si="15"/>
        <v>0</v>
      </c>
    </row>
    <row r="94" spans="1:24" x14ac:dyDescent="0.3">
      <c r="A94" s="7">
        <v>2001806823</v>
      </c>
      <c r="B94" s="7">
        <v>1091117228133</v>
      </c>
      <c r="C94" s="6">
        <f>VLOOKUP(A94,'Invoice_Courier Company'!B:E,4,FALSE)</f>
        <v>314001</v>
      </c>
      <c r="D94" s="6" t="str">
        <f>VLOOKUP(A94,'Invoice_Courier Company'!B:G,6,FALSE)</f>
        <v>Forward charges</v>
      </c>
      <c r="E94" s="6" t="str">
        <f t="shared" si="8"/>
        <v>Yes</v>
      </c>
      <c r="F94" s="6" t="str">
        <f t="shared" si="9"/>
        <v>No</v>
      </c>
      <c r="G94" s="18">
        <f>SUMIFS('Order Report_Company X'!E:E,'Order Report_Company X'!A:A,A94)/1000</f>
        <v>0.127</v>
      </c>
      <c r="H94" s="18">
        <f>SUMIFS('Order Report_Company X'!E:E,'Order Report_Company X'!A:A,'Order Level Calculation_Company'!A94)</f>
        <v>127</v>
      </c>
      <c r="I94" s="18" cm="1">
        <f t="array" ref="I94">_xlfn.IFS($G94&lt;=0.5,0.5,$G94&lt;=1,1,$G94&lt;=1.5,1.5,$G94&lt;=2,2,$G94&lt;=2.5,2.5,$G94&lt;=3,3,$G94&lt;=3.5,3.5,$G94&lt;=4,4)</f>
        <v>0.5</v>
      </c>
      <c r="J94" s="18" cm="1">
        <f t="array" ref="J94">_xlfn.IFS($H94&lt;=500,0.5,$H94&lt;=1000,1,$H94&lt;=1500,1.5,$H94&lt;=2000,2,$H94&lt;=2500,2.5,$H94&lt;=3000,3,$H94&lt;=3500,3.5,$H94&lt;=4000,4)*1000</f>
        <v>500</v>
      </c>
      <c r="K94" s="6" t="str">
        <f>UPPER(VLOOKUP(C94,'Zones Pincode_Company X'!B:C,2,FALSE))</f>
        <v>B</v>
      </c>
      <c r="L94" s="18">
        <f>VLOOKUP(K94,'Rates_Courier Company'!$B$7:$C$12,2,0)</f>
        <v>33</v>
      </c>
      <c r="M94" s="18">
        <f>VLOOKUP(K94,'Rates_Courier Company'!$B$15:$C$20,2,FALSE)*(I94/0.5-1)</f>
        <v>0</v>
      </c>
      <c r="N94" s="6">
        <f>IF(F94="Yes",VLOOKUP(K94,'Rates_Courier Company'!$F$7:$G$12,2,0),0)</f>
        <v>0</v>
      </c>
      <c r="O94" s="6">
        <f>IF(F94="Yes",VLOOKUP(K94,'Rates_Courier Company'!$F$15:$G$20,2,0),0)*(I94/0.5 -1)</f>
        <v>0</v>
      </c>
      <c r="P94" s="18">
        <f t="shared" si="10"/>
        <v>33</v>
      </c>
      <c r="Q94" s="18">
        <f>VLOOKUP(A94,'Invoice_Courier Company'!B:C,2,0)</f>
        <v>0.59</v>
      </c>
      <c r="R94" s="18">
        <f t="shared" si="11"/>
        <v>1</v>
      </c>
      <c r="S94" s="6" t="str">
        <f>UPPER(VLOOKUP(A94,'Invoice_Courier Company'!B:G,5,FALSE))</f>
        <v>D</v>
      </c>
      <c r="T94" s="18">
        <f>VLOOKUP(A94,'Invoice_Courier Company'!B:H,7,0)</f>
        <v>90.2</v>
      </c>
      <c r="U94" s="18">
        <f t="shared" si="12"/>
        <v>-57.2</v>
      </c>
      <c r="V94" s="32">
        <f t="shared" si="13"/>
        <v>-1.7333333333333334</v>
      </c>
      <c r="W94" s="18">
        <f t="shared" si="14"/>
        <v>33</v>
      </c>
      <c r="X94" s="6">
        <f t="shared" si="15"/>
        <v>0</v>
      </c>
    </row>
    <row r="95" spans="1:24" x14ac:dyDescent="0.3">
      <c r="A95" s="7">
        <v>2001806828</v>
      </c>
      <c r="B95" s="7">
        <v>1091117228192</v>
      </c>
      <c r="C95" s="6">
        <f>VLOOKUP(A95,'Invoice_Courier Company'!B:E,4,FALSE)</f>
        <v>331022</v>
      </c>
      <c r="D95" s="6" t="str">
        <f>VLOOKUP(A95,'Invoice_Courier Company'!B:G,6,FALSE)</f>
        <v>Forward charges</v>
      </c>
      <c r="E95" s="6" t="str">
        <f t="shared" si="8"/>
        <v>Yes</v>
      </c>
      <c r="F95" s="6" t="str">
        <f t="shared" si="9"/>
        <v>No</v>
      </c>
      <c r="G95" s="18">
        <f>SUMIFS('Order Report_Company X'!E:E,'Order Report_Company X'!A:A,A95)/1000</f>
        <v>0.5</v>
      </c>
      <c r="H95" s="18">
        <f>SUMIFS('Order Report_Company X'!E:E,'Order Report_Company X'!A:A,'Order Level Calculation_Company'!A95)</f>
        <v>500</v>
      </c>
      <c r="I95" s="18" cm="1">
        <f t="array" ref="I95">_xlfn.IFS($G95&lt;=0.5,0.5,$G95&lt;=1,1,$G95&lt;=1.5,1.5,$G95&lt;=2,2,$G95&lt;=2.5,2.5,$G95&lt;=3,3,$G95&lt;=3.5,3.5,$G95&lt;=4,4)</f>
        <v>0.5</v>
      </c>
      <c r="J95" s="18" cm="1">
        <f t="array" ref="J95">_xlfn.IFS($H95&lt;=500,0.5,$H95&lt;=1000,1,$H95&lt;=1500,1.5,$H95&lt;=2000,2,$H95&lt;=2500,2.5,$H95&lt;=3000,3,$H95&lt;=3500,3.5,$H95&lt;=4000,4)*1000</f>
        <v>500</v>
      </c>
      <c r="K95" s="6" t="str">
        <f>UPPER(VLOOKUP(C95,'Zones Pincode_Company X'!B:C,2,FALSE))</f>
        <v>B</v>
      </c>
      <c r="L95" s="18">
        <f>VLOOKUP(K95,'Rates_Courier Company'!$B$7:$C$12,2,0)</f>
        <v>33</v>
      </c>
      <c r="M95" s="18">
        <f>VLOOKUP(K95,'Rates_Courier Company'!$B$15:$C$20,2,FALSE)*(I95/0.5-1)</f>
        <v>0</v>
      </c>
      <c r="N95" s="6">
        <f>IF(F95="Yes",VLOOKUP(K95,'Rates_Courier Company'!$F$7:$G$12,2,0),0)</f>
        <v>0</v>
      </c>
      <c r="O95" s="6">
        <f>IF(F95="Yes",VLOOKUP(K95,'Rates_Courier Company'!$F$15:$G$20,2,0),0)*(I95/0.5 -1)</f>
        <v>0</v>
      </c>
      <c r="P95" s="18">
        <f t="shared" si="10"/>
        <v>33</v>
      </c>
      <c r="Q95" s="18">
        <f>VLOOKUP(A95,'Invoice_Courier Company'!B:C,2,0)</f>
        <v>0.69</v>
      </c>
      <c r="R95" s="18">
        <f t="shared" si="11"/>
        <v>1</v>
      </c>
      <c r="S95" s="6" t="str">
        <f>UPPER(VLOOKUP(A95,'Invoice_Courier Company'!B:G,5,FALSE))</f>
        <v>D</v>
      </c>
      <c r="T95" s="18">
        <f>VLOOKUP(A95,'Invoice_Courier Company'!B:H,7,0)</f>
        <v>90.2</v>
      </c>
      <c r="U95" s="18">
        <f t="shared" si="12"/>
        <v>-57.2</v>
      </c>
      <c r="V95" s="32">
        <f t="shared" si="13"/>
        <v>-1.7333333333333334</v>
      </c>
      <c r="W95" s="18">
        <f t="shared" si="14"/>
        <v>33</v>
      </c>
      <c r="X95" s="6">
        <f t="shared" si="15"/>
        <v>0</v>
      </c>
    </row>
    <row r="96" spans="1:24" x14ac:dyDescent="0.3">
      <c r="A96" s="7">
        <v>2001806968</v>
      </c>
      <c r="B96" s="7">
        <v>1091117229183</v>
      </c>
      <c r="C96" s="6">
        <f>VLOOKUP(A96,'Invoice_Courier Company'!B:E,4,FALSE)</f>
        <v>305801</v>
      </c>
      <c r="D96" s="6" t="str">
        <f>VLOOKUP(A96,'Invoice_Courier Company'!B:G,6,FALSE)</f>
        <v>Forward charges</v>
      </c>
      <c r="E96" s="6" t="str">
        <f t="shared" si="8"/>
        <v>Yes</v>
      </c>
      <c r="F96" s="6" t="str">
        <f t="shared" si="9"/>
        <v>No</v>
      </c>
      <c r="G96" s="18">
        <f>SUMIFS('Order Report_Company X'!E:E,'Order Report_Company X'!A:A,A96)/1000</f>
        <v>0.5</v>
      </c>
      <c r="H96" s="18">
        <f>SUMIFS('Order Report_Company X'!E:E,'Order Report_Company X'!A:A,'Order Level Calculation_Company'!A96)</f>
        <v>500</v>
      </c>
      <c r="I96" s="18" cm="1">
        <f t="array" ref="I96">_xlfn.IFS($G96&lt;=0.5,0.5,$G96&lt;=1,1,$G96&lt;=1.5,1.5,$G96&lt;=2,2,$G96&lt;=2.5,2.5,$G96&lt;=3,3,$G96&lt;=3.5,3.5,$G96&lt;=4,4)</f>
        <v>0.5</v>
      </c>
      <c r="J96" s="18" cm="1">
        <f t="array" ref="J96">_xlfn.IFS($H96&lt;=500,0.5,$H96&lt;=1000,1,$H96&lt;=1500,1.5,$H96&lt;=2000,2,$H96&lt;=2500,2.5,$H96&lt;=3000,3,$H96&lt;=3500,3.5,$H96&lt;=4000,4)*1000</f>
        <v>500</v>
      </c>
      <c r="K96" s="6" t="str">
        <f>UPPER(VLOOKUP(C96,'Zones Pincode_Company X'!B:C,2,FALSE))</f>
        <v>B</v>
      </c>
      <c r="L96" s="18">
        <f>VLOOKUP(K96,'Rates_Courier Company'!$B$7:$C$12,2,0)</f>
        <v>33</v>
      </c>
      <c r="M96" s="18">
        <f>VLOOKUP(K96,'Rates_Courier Company'!$B$15:$C$20,2,FALSE)*(I96/0.5-1)</f>
        <v>0</v>
      </c>
      <c r="N96" s="6">
        <f>IF(F96="Yes",VLOOKUP(K96,'Rates_Courier Company'!$F$7:$G$12,2,0),0)</f>
        <v>0</v>
      </c>
      <c r="O96" s="6">
        <f>IF(F96="Yes",VLOOKUP(K96,'Rates_Courier Company'!$F$15:$G$20,2,0),0)*(I96/0.5 -1)</f>
        <v>0</v>
      </c>
      <c r="P96" s="18">
        <f t="shared" si="10"/>
        <v>33</v>
      </c>
      <c r="Q96" s="18">
        <f>VLOOKUP(A96,'Invoice_Courier Company'!B:C,2,0)</f>
        <v>0.68</v>
      </c>
      <c r="R96" s="18">
        <f t="shared" si="11"/>
        <v>1</v>
      </c>
      <c r="S96" s="6" t="str">
        <f>UPPER(VLOOKUP(A96,'Invoice_Courier Company'!B:G,5,FALSE))</f>
        <v>D</v>
      </c>
      <c r="T96" s="18">
        <f>VLOOKUP(A96,'Invoice_Courier Company'!B:H,7,0)</f>
        <v>90.2</v>
      </c>
      <c r="U96" s="18">
        <f t="shared" si="12"/>
        <v>-57.2</v>
      </c>
      <c r="V96" s="32">
        <f t="shared" si="13"/>
        <v>-1.7333333333333334</v>
      </c>
      <c r="W96" s="18">
        <f t="shared" si="14"/>
        <v>33</v>
      </c>
      <c r="X96" s="6">
        <f t="shared" si="15"/>
        <v>0</v>
      </c>
    </row>
    <row r="97" spans="1:24" x14ac:dyDescent="0.3">
      <c r="A97" s="7">
        <v>2001807328</v>
      </c>
      <c r="B97" s="7">
        <v>1091117324346</v>
      </c>
      <c r="C97" s="6">
        <f>VLOOKUP(A97,'Invoice_Courier Company'!B:E,4,FALSE)</f>
        <v>335502</v>
      </c>
      <c r="D97" s="6" t="str">
        <f>VLOOKUP(A97,'Invoice_Courier Company'!B:G,6,FALSE)</f>
        <v>Forward charges</v>
      </c>
      <c r="E97" s="6" t="str">
        <f t="shared" si="8"/>
        <v>Yes</v>
      </c>
      <c r="F97" s="6" t="str">
        <f t="shared" si="9"/>
        <v>No</v>
      </c>
      <c r="G97" s="18">
        <f>SUMIFS('Order Report_Company X'!E:E,'Order Report_Company X'!A:A,A97)/1000</f>
        <v>0.49</v>
      </c>
      <c r="H97" s="18">
        <f>SUMIFS('Order Report_Company X'!E:E,'Order Report_Company X'!A:A,'Order Level Calculation_Company'!A97)</f>
        <v>490</v>
      </c>
      <c r="I97" s="18" cm="1">
        <f t="array" ref="I97">_xlfn.IFS($G97&lt;=0.5,0.5,$G97&lt;=1,1,$G97&lt;=1.5,1.5,$G97&lt;=2,2,$G97&lt;=2.5,2.5,$G97&lt;=3,3,$G97&lt;=3.5,3.5,$G97&lt;=4,4)</f>
        <v>0.5</v>
      </c>
      <c r="J97" s="18" cm="1">
        <f t="array" ref="J97">_xlfn.IFS($H97&lt;=500,0.5,$H97&lt;=1000,1,$H97&lt;=1500,1.5,$H97&lt;=2000,2,$H97&lt;=2500,2.5,$H97&lt;=3000,3,$H97&lt;=3500,3.5,$H97&lt;=4000,4)*1000</f>
        <v>500</v>
      </c>
      <c r="K97" s="6" t="str">
        <f>UPPER(VLOOKUP(C97,'Zones Pincode_Company X'!B:C,2,FALSE))</f>
        <v>B</v>
      </c>
      <c r="L97" s="18">
        <f>VLOOKUP(K97,'Rates_Courier Company'!$B$7:$C$12,2,0)</f>
        <v>33</v>
      </c>
      <c r="M97" s="18">
        <f>VLOOKUP(K97,'Rates_Courier Company'!$B$15:$C$20,2,FALSE)*(I97/0.5-1)</f>
        <v>0</v>
      </c>
      <c r="N97" s="6">
        <f>IF(F97="Yes",VLOOKUP(K97,'Rates_Courier Company'!$F$7:$G$12,2,0),0)</f>
        <v>0</v>
      </c>
      <c r="O97" s="6">
        <f>IF(F97="Yes",VLOOKUP(K97,'Rates_Courier Company'!$F$15:$G$20,2,0),0)*(I97/0.5 -1)</f>
        <v>0</v>
      </c>
      <c r="P97" s="18">
        <f t="shared" si="10"/>
        <v>33</v>
      </c>
      <c r="Q97" s="18">
        <f>VLOOKUP(A97,'Invoice_Courier Company'!B:C,2,0)</f>
        <v>2.2799999999999998</v>
      </c>
      <c r="R97" s="18">
        <f t="shared" si="11"/>
        <v>2.5</v>
      </c>
      <c r="S97" s="6" t="str">
        <f>UPPER(VLOOKUP(A97,'Invoice_Courier Company'!B:G,5,FALSE))</f>
        <v>D</v>
      </c>
      <c r="T97" s="18">
        <f>VLOOKUP(A97,'Invoice_Courier Company'!B:H,7,0)</f>
        <v>224.6</v>
      </c>
      <c r="U97" s="18">
        <f t="shared" si="12"/>
        <v>-191.6</v>
      </c>
      <c r="V97" s="32">
        <f t="shared" si="13"/>
        <v>-5.8060606060606057</v>
      </c>
      <c r="W97" s="18">
        <f t="shared" si="14"/>
        <v>33</v>
      </c>
      <c r="X97" s="6">
        <f t="shared" si="15"/>
        <v>0</v>
      </c>
    </row>
    <row r="98" spans="1:24" x14ac:dyDescent="0.3">
      <c r="A98" s="7">
        <v>2001807785</v>
      </c>
      <c r="B98" s="7">
        <v>1091117326424</v>
      </c>
      <c r="C98" s="6">
        <f>VLOOKUP(A98,'Invoice_Courier Company'!B:E,4,FALSE)</f>
        <v>306116</v>
      </c>
      <c r="D98" s="6" t="str">
        <f>VLOOKUP(A98,'Invoice_Courier Company'!B:G,6,FALSE)</f>
        <v>Forward charges</v>
      </c>
      <c r="E98" s="6" t="str">
        <f t="shared" si="8"/>
        <v>Yes</v>
      </c>
      <c r="F98" s="6" t="str">
        <f t="shared" si="9"/>
        <v>No</v>
      </c>
      <c r="G98" s="18">
        <f>SUMIFS('Order Report_Company X'!E:E,'Order Report_Company X'!A:A,A98)/1000</f>
        <v>0.5</v>
      </c>
      <c r="H98" s="18">
        <f>SUMIFS('Order Report_Company X'!E:E,'Order Report_Company X'!A:A,'Order Level Calculation_Company'!A98)</f>
        <v>500</v>
      </c>
      <c r="I98" s="18" cm="1">
        <f t="array" ref="I98">_xlfn.IFS($G98&lt;=0.5,0.5,$G98&lt;=1,1,$G98&lt;=1.5,1.5,$G98&lt;=2,2,$G98&lt;=2.5,2.5,$G98&lt;=3,3,$G98&lt;=3.5,3.5,$G98&lt;=4,4)</f>
        <v>0.5</v>
      </c>
      <c r="J98" s="18" cm="1">
        <f t="array" ref="J98">_xlfn.IFS($H98&lt;=500,0.5,$H98&lt;=1000,1,$H98&lt;=1500,1.5,$H98&lt;=2000,2,$H98&lt;=2500,2.5,$H98&lt;=3000,3,$H98&lt;=3500,3.5,$H98&lt;=4000,4)*1000</f>
        <v>500</v>
      </c>
      <c r="K98" s="6" t="str">
        <f>UPPER(VLOOKUP(C98,'Zones Pincode_Company X'!B:C,2,FALSE))</f>
        <v>B</v>
      </c>
      <c r="L98" s="18">
        <f>VLOOKUP(K98,'Rates_Courier Company'!$B$7:$C$12,2,0)</f>
        <v>33</v>
      </c>
      <c r="M98" s="18">
        <f>VLOOKUP(K98,'Rates_Courier Company'!$B$15:$C$20,2,FALSE)*(I98/0.5-1)</f>
        <v>0</v>
      </c>
      <c r="N98" s="6">
        <f>IF(F98="Yes",VLOOKUP(K98,'Rates_Courier Company'!$F$7:$G$12,2,0),0)</f>
        <v>0</v>
      </c>
      <c r="O98" s="6">
        <f>IF(F98="Yes",VLOOKUP(K98,'Rates_Courier Company'!$F$15:$G$20,2,0),0)*(I98/0.5 -1)</f>
        <v>0</v>
      </c>
      <c r="P98" s="18">
        <f t="shared" si="10"/>
        <v>33</v>
      </c>
      <c r="Q98" s="18">
        <f>VLOOKUP(A98,'Invoice_Courier Company'!B:C,2,0)</f>
        <v>0.68</v>
      </c>
      <c r="R98" s="18">
        <f t="shared" si="11"/>
        <v>1</v>
      </c>
      <c r="S98" s="6" t="str">
        <f>UPPER(VLOOKUP(A98,'Invoice_Courier Company'!B:G,5,FALSE))</f>
        <v>D</v>
      </c>
      <c r="T98" s="18">
        <f>VLOOKUP(A98,'Invoice_Courier Company'!B:H,7,0)</f>
        <v>90.2</v>
      </c>
      <c r="U98" s="18">
        <f t="shared" si="12"/>
        <v>-57.2</v>
      </c>
      <c r="V98" s="32">
        <f t="shared" si="13"/>
        <v>-1.7333333333333334</v>
      </c>
      <c r="W98" s="18">
        <f t="shared" si="14"/>
        <v>33</v>
      </c>
      <c r="X98" s="6">
        <f t="shared" si="15"/>
        <v>0</v>
      </c>
    </row>
    <row r="99" spans="1:24" x14ac:dyDescent="0.3">
      <c r="A99" s="7">
        <v>2001807852</v>
      </c>
      <c r="B99" s="7">
        <v>1091117326925</v>
      </c>
      <c r="C99" s="6">
        <f>VLOOKUP(A99,'Invoice_Courier Company'!B:E,4,FALSE)</f>
        <v>311001</v>
      </c>
      <c r="D99" s="6" t="str">
        <f>VLOOKUP(A99,'Invoice_Courier Company'!B:G,6,FALSE)</f>
        <v>Forward charges</v>
      </c>
      <c r="E99" s="6" t="str">
        <f t="shared" si="8"/>
        <v>Yes</v>
      </c>
      <c r="F99" s="6" t="str">
        <f t="shared" si="9"/>
        <v>No</v>
      </c>
      <c r="G99" s="18">
        <f>SUMIFS('Order Report_Company X'!E:E,'Order Report_Company X'!A:A,A99)/1000</f>
        <v>0.5</v>
      </c>
      <c r="H99" s="18">
        <f>SUMIFS('Order Report_Company X'!E:E,'Order Report_Company X'!A:A,'Order Level Calculation_Company'!A99)</f>
        <v>500</v>
      </c>
      <c r="I99" s="18" cm="1">
        <f t="array" ref="I99">_xlfn.IFS($G99&lt;=0.5,0.5,$G99&lt;=1,1,$G99&lt;=1.5,1.5,$G99&lt;=2,2,$G99&lt;=2.5,2.5,$G99&lt;=3,3,$G99&lt;=3.5,3.5,$G99&lt;=4,4)</f>
        <v>0.5</v>
      </c>
      <c r="J99" s="18" cm="1">
        <f t="array" ref="J99">_xlfn.IFS($H99&lt;=500,0.5,$H99&lt;=1000,1,$H99&lt;=1500,1.5,$H99&lt;=2000,2,$H99&lt;=2500,2.5,$H99&lt;=3000,3,$H99&lt;=3500,3.5,$H99&lt;=4000,4)*1000</f>
        <v>500</v>
      </c>
      <c r="K99" s="6" t="str">
        <f>UPPER(VLOOKUP(C99,'Zones Pincode_Company X'!B:C,2,FALSE))</f>
        <v>B</v>
      </c>
      <c r="L99" s="18">
        <f>VLOOKUP(K99,'Rates_Courier Company'!$B$7:$C$12,2,0)</f>
        <v>33</v>
      </c>
      <c r="M99" s="18">
        <f>VLOOKUP(K99,'Rates_Courier Company'!$B$15:$C$20,2,FALSE)*(I99/0.5-1)</f>
        <v>0</v>
      </c>
      <c r="N99" s="6">
        <f>IF(F99="Yes",VLOOKUP(K99,'Rates_Courier Company'!$F$7:$G$12,2,0),0)</f>
        <v>0</v>
      </c>
      <c r="O99" s="6">
        <f>IF(F99="Yes",VLOOKUP(K99,'Rates_Courier Company'!$F$15:$G$20,2,0),0)*(I99/0.5 -1)</f>
        <v>0</v>
      </c>
      <c r="P99" s="18">
        <f t="shared" si="10"/>
        <v>33</v>
      </c>
      <c r="Q99" s="18">
        <f>VLOOKUP(A99,'Invoice_Courier Company'!B:C,2,0)</f>
        <v>0.74</v>
      </c>
      <c r="R99" s="18">
        <f t="shared" si="11"/>
        <v>1</v>
      </c>
      <c r="S99" s="6" t="str">
        <f>UPPER(VLOOKUP(A99,'Invoice_Courier Company'!B:G,5,FALSE))</f>
        <v>D</v>
      </c>
      <c r="T99" s="18">
        <f>VLOOKUP(A99,'Invoice_Courier Company'!B:H,7,0)</f>
        <v>90.2</v>
      </c>
      <c r="U99" s="18">
        <f t="shared" si="12"/>
        <v>-57.2</v>
      </c>
      <c r="V99" s="32">
        <f t="shared" si="13"/>
        <v>-1.7333333333333334</v>
      </c>
      <c r="W99" s="18">
        <f t="shared" si="14"/>
        <v>33</v>
      </c>
      <c r="X99" s="6">
        <f t="shared" si="15"/>
        <v>0</v>
      </c>
    </row>
    <row r="100" spans="1:24" x14ac:dyDescent="0.3">
      <c r="A100" s="7">
        <v>2001807970</v>
      </c>
      <c r="B100" s="7">
        <v>1091117327474</v>
      </c>
      <c r="C100" s="6">
        <f>VLOOKUP(A100,'Invoice_Courier Company'!B:E,4,FALSE)</f>
        <v>302019</v>
      </c>
      <c r="D100" s="6" t="str">
        <f>VLOOKUP(A100,'Invoice_Courier Company'!B:G,6,FALSE)</f>
        <v>Forward charges</v>
      </c>
      <c r="E100" s="6" t="str">
        <f t="shared" si="8"/>
        <v>Yes</v>
      </c>
      <c r="F100" s="6" t="str">
        <f t="shared" si="9"/>
        <v>No</v>
      </c>
      <c r="G100" s="18">
        <f>SUMIFS('Order Report_Company X'!E:E,'Order Report_Company X'!A:A,A100)/1000</f>
        <v>0.76500000000000001</v>
      </c>
      <c r="H100" s="18">
        <f>SUMIFS('Order Report_Company X'!E:E,'Order Report_Company X'!A:A,'Order Level Calculation_Company'!A100)</f>
        <v>765</v>
      </c>
      <c r="I100" s="18" cm="1">
        <f t="array" ref="I100">_xlfn.IFS($G100&lt;=0.5,0.5,$G100&lt;=1,1,$G100&lt;=1.5,1.5,$G100&lt;=2,2,$G100&lt;=2.5,2.5,$G100&lt;=3,3,$G100&lt;=3.5,3.5,$G100&lt;=4,4)</f>
        <v>1</v>
      </c>
      <c r="J100" s="18" cm="1">
        <f t="array" ref="J100">_xlfn.IFS($H100&lt;=500,0.5,$H100&lt;=1000,1,$H100&lt;=1500,1.5,$H100&lt;=2000,2,$H100&lt;=2500,2.5,$H100&lt;=3000,3,$H100&lt;=3500,3.5,$H100&lt;=4000,4)*1000</f>
        <v>1000</v>
      </c>
      <c r="K100" s="6" t="str">
        <f>UPPER(VLOOKUP(C100,'Zones Pincode_Company X'!B:C,2,FALSE))</f>
        <v>B</v>
      </c>
      <c r="L100" s="18">
        <f>VLOOKUP(K100,'Rates_Courier Company'!$B$7:$C$12,2,0)</f>
        <v>33</v>
      </c>
      <c r="M100" s="18">
        <f>VLOOKUP(K100,'Rates_Courier Company'!$B$15:$C$20,2,FALSE)*(I100/0.5-1)</f>
        <v>28.3</v>
      </c>
      <c r="N100" s="6">
        <f>IF(F100="Yes",VLOOKUP(K100,'Rates_Courier Company'!$F$7:$G$12,2,0),0)</f>
        <v>0</v>
      </c>
      <c r="O100" s="6">
        <f>IF(F100="Yes",VLOOKUP(K100,'Rates_Courier Company'!$F$15:$G$20,2,0),0)*(I100/0.5 -1)</f>
        <v>0</v>
      </c>
      <c r="P100" s="18">
        <f t="shared" si="10"/>
        <v>61.3</v>
      </c>
      <c r="Q100" s="18">
        <f>VLOOKUP(A100,'Invoice_Courier Company'!B:C,2,0)</f>
        <v>4.13</v>
      </c>
      <c r="R100" s="18">
        <f t="shared" si="11"/>
        <v>3</v>
      </c>
      <c r="S100" s="6" t="str">
        <f>UPPER(VLOOKUP(A100,'Invoice_Courier Company'!B:G,5,FALSE))</f>
        <v>D</v>
      </c>
      <c r="T100" s="18">
        <f>VLOOKUP(A100,'Invoice_Courier Company'!B:H,7,0)</f>
        <v>403.8</v>
      </c>
      <c r="U100" s="18">
        <f t="shared" si="12"/>
        <v>-342.5</v>
      </c>
      <c r="V100" s="32">
        <f t="shared" si="13"/>
        <v>-5.5872756933115824</v>
      </c>
      <c r="W100" s="18">
        <f t="shared" si="14"/>
        <v>61.3</v>
      </c>
      <c r="X100" s="6">
        <f t="shared" si="15"/>
        <v>0</v>
      </c>
    </row>
    <row r="101" spans="1:24" x14ac:dyDescent="0.3">
      <c r="A101" s="7">
        <v>2001807329</v>
      </c>
      <c r="B101" s="7">
        <v>1091117333100</v>
      </c>
      <c r="C101" s="6">
        <f>VLOOKUP(A101,'Invoice_Courier Company'!B:E,4,FALSE)</f>
        <v>302039</v>
      </c>
      <c r="D101" s="6" t="str">
        <f>VLOOKUP(A101,'Invoice_Courier Company'!B:G,6,FALSE)</f>
        <v>Forward charges</v>
      </c>
      <c r="E101" s="6" t="str">
        <f t="shared" si="8"/>
        <v>Yes</v>
      </c>
      <c r="F101" s="6" t="str">
        <f t="shared" si="9"/>
        <v>No</v>
      </c>
      <c r="G101" s="18">
        <f>SUMIFS('Order Report_Company X'!E:E,'Order Report_Company X'!A:A,A101)/1000</f>
        <v>0.5</v>
      </c>
      <c r="H101" s="18">
        <f>SUMIFS('Order Report_Company X'!E:E,'Order Report_Company X'!A:A,'Order Level Calculation_Company'!A101)</f>
        <v>500</v>
      </c>
      <c r="I101" s="18" cm="1">
        <f t="array" ref="I101">_xlfn.IFS($G101&lt;=0.5,0.5,$G101&lt;=1,1,$G101&lt;=1.5,1.5,$G101&lt;=2,2,$G101&lt;=2.5,2.5,$G101&lt;=3,3,$G101&lt;=3.5,3.5,$G101&lt;=4,4)</f>
        <v>0.5</v>
      </c>
      <c r="J101" s="18" cm="1">
        <f t="array" ref="J101">_xlfn.IFS($H101&lt;=500,0.5,$H101&lt;=1000,1,$H101&lt;=1500,1.5,$H101&lt;=2000,2,$H101&lt;=2500,2.5,$H101&lt;=3000,3,$H101&lt;=3500,3.5,$H101&lt;=4000,4)*1000</f>
        <v>500</v>
      </c>
      <c r="K101" s="6" t="str">
        <f>UPPER(VLOOKUP(C101,'Zones Pincode_Company X'!B:C,2,FALSE))</f>
        <v>B</v>
      </c>
      <c r="L101" s="18">
        <f>VLOOKUP(K101,'Rates_Courier Company'!$B$7:$C$12,2,0)</f>
        <v>33</v>
      </c>
      <c r="M101" s="18">
        <f>VLOOKUP(K101,'Rates_Courier Company'!$B$15:$C$20,2,FALSE)*(I101/0.5-1)</f>
        <v>0</v>
      </c>
      <c r="N101" s="6">
        <f>IF(F101="Yes",VLOOKUP(K101,'Rates_Courier Company'!$F$7:$G$12,2,0),0)</f>
        <v>0</v>
      </c>
      <c r="O101" s="6">
        <f>IF(F101="Yes",VLOOKUP(K101,'Rates_Courier Company'!$F$15:$G$20,2,0),0)*(I101/0.5 -1)</f>
        <v>0</v>
      </c>
      <c r="P101" s="18">
        <f t="shared" si="10"/>
        <v>33</v>
      </c>
      <c r="Q101" s="18">
        <f>VLOOKUP(A101,'Invoice_Courier Company'!B:C,2,0)</f>
        <v>0.73</v>
      </c>
      <c r="R101" s="18">
        <f t="shared" si="11"/>
        <v>1</v>
      </c>
      <c r="S101" s="6" t="str">
        <f>UPPER(VLOOKUP(A101,'Invoice_Courier Company'!B:G,5,FALSE))</f>
        <v>D</v>
      </c>
      <c r="T101" s="18">
        <f>VLOOKUP(A101,'Invoice_Courier Company'!B:H,7,0)</f>
        <v>90.2</v>
      </c>
      <c r="U101" s="18">
        <f t="shared" si="12"/>
        <v>-57.2</v>
      </c>
      <c r="V101" s="32">
        <f t="shared" si="13"/>
        <v>-1.7333333333333334</v>
      </c>
      <c r="W101" s="18">
        <f t="shared" si="14"/>
        <v>33</v>
      </c>
      <c r="X101" s="6">
        <f t="shared" si="15"/>
        <v>0</v>
      </c>
    </row>
    <row r="102" spans="1:24" x14ac:dyDescent="0.3">
      <c r="A102" s="7">
        <v>2001807613</v>
      </c>
      <c r="B102" s="7">
        <v>1091117333251</v>
      </c>
      <c r="C102" s="6">
        <f>VLOOKUP(A102,'Invoice_Courier Company'!B:E,4,FALSE)</f>
        <v>335803</v>
      </c>
      <c r="D102" s="6" t="str">
        <f>VLOOKUP(A102,'Invoice_Courier Company'!B:G,6,FALSE)</f>
        <v>Forward charges</v>
      </c>
      <c r="E102" s="6" t="str">
        <f t="shared" si="8"/>
        <v>Yes</v>
      </c>
      <c r="F102" s="6" t="str">
        <f t="shared" si="9"/>
        <v>No</v>
      </c>
      <c r="G102" s="18">
        <f>SUMIFS('Order Report_Company X'!E:E,'Order Report_Company X'!A:A,A102)/1000</f>
        <v>0.83</v>
      </c>
      <c r="H102" s="18">
        <f>SUMIFS('Order Report_Company X'!E:E,'Order Report_Company X'!A:A,'Order Level Calculation_Company'!A102)</f>
        <v>830</v>
      </c>
      <c r="I102" s="18" cm="1">
        <f t="array" ref="I102">_xlfn.IFS($G102&lt;=0.5,0.5,$G102&lt;=1,1,$G102&lt;=1.5,1.5,$G102&lt;=2,2,$G102&lt;=2.5,2.5,$G102&lt;=3,3,$G102&lt;=3.5,3.5,$G102&lt;=4,4)</f>
        <v>1</v>
      </c>
      <c r="J102" s="18" cm="1">
        <f t="array" ref="J102">_xlfn.IFS($H102&lt;=500,0.5,$H102&lt;=1000,1,$H102&lt;=1500,1.5,$H102&lt;=2000,2,$H102&lt;=2500,2.5,$H102&lt;=3000,3,$H102&lt;=3500,3.5,$H102&lt;=4000,4)*1000</f>
        <v>1000</v>
      </c>
      <c r="K102" s="6" t="str">
        <f>UPPER(VLOOKUP(C102,'Zones Pincode_Company X'!B:C,2,FALSE))</f>
        <v>B</v>
      </c>
      <c r="L102" s="18">
        <f>VLOOKUP(K102,'Rates_Courier Company'!$B$7:$C$12,2,0)</f>
        <v>33</v>
      </c>
      <c r="M102" s="18">
        <f>VLOOKUP(K102,'Rates_Courier Company'!$B$15:$C$20,2,FALSE)*(I102/0.5-1)</f>
        <v>28.3</v>
      </c>
      <c r="N102" s="6">
        <f>IF(F102="Yes",VLOOKUP(K102,'Rates_Courier Company'!$F$7:$G$12,2,0),0)</f>
        <v>0</v>
      </c>
      <c r="O102" s="6">
        <f>IF(F102="Yes",VLOOKUP(K102,'Rates_Courier Company'!$F$15:$G$20,2,0),0)*(I102/0.5 -1)</f>
        <v>0</v>
      </c>
      <c r="P102" s="18">
        <f t="shared" si="10"/>
        <v>61.3</v>
      </c>
      <c r="Q102" s="18">
        <f>VLOOKUP(A102,'Invoice_Courier Company'!B:C,2,0)</f>
        <v>1.04</v>
      </c>
      <c r="R102" s="18">
        <f t="shared" si="11"/>
        <v>1.5</v>
      </c>
      <c r="S102" s="6" t="str">
        <f>UPPER(VLOOKUP(A102,'Invoice_Courier Company'!B:G,5,FALSE))</f>
        <v>D</v>
      </c>
      <c r="T102" s="18">
        <f>VLOOKUP(A102,'Invoice_Courier Company'!B:H,7,0)</f>
        <v>135</v>
      </c>
      <c r="U102" s="18">
        <f t="shared" si="12"/>
        <v>-73.7</v>
      </c>
      <c r="V102" s="32">
        <f t="shared" si="13"/>
        <v>-1.2022838499184341</v>
      </c>
      <c r="W102" s="18">
        <f t="shared" si="14"/>
        <v>61.3</v>
      </c>
      <c r="X102" s="6">
        <f t="shared" si="15"/>
        <v>0</v>
      </c>
    </row>
    <row r="103" spans="1:24" x14ac:dyDescent="0.3">
      <c r="A103" s="7">
        <v>2001808475</v>
      </c>
      <c r="B103" s="7">
        <v>1091117436346</v>
      </c>
      <c r="C103" s="6">
        <f>VLOOKUP(A103,'Invoice_Courier Company'!B:E,4,FALSE)</f>
        <v>335001</v>
      </c>
      <c r="D103" s="6" t="str">
        <f>VLOOKUP(A103,'Invoice_Courier Company'!B:G,6,FALSE)</f>
        <v>Forward charges</v>
      </c>
      <c r="E103" s="6" t="str">
        <f t="shared" si="8"/>
        <v>Yes</v>
      </c>
      <c r="F103" s="6" t="str">
        <f t="shared" si="9"/>
        <v>No</v>
      </c>
      <c r="G103" s="18">
        <f>SUMIFS('Order Report_Company X'!E:E,'Order Report_Company X'!A:A,A103)/1000</f>
        <v>0.5</v>
      </c>
      <c r="H103" s="18">
        <f>SUMIFS('Order Report_Company X'!E:E,'Order Report_Company X'!A:A,'Order Level Calculation_Company'!A103)</f>
        <v>500</v>
      </c>
      <c r="I103" s="18" cm="1">
        <f t="array" ref="I103">_xlfn.IFS($G103&lt;=0.5,0.5,$G103&lt;=1,1,$G103&lt;=1.5,1.5,$G103&lt;=2,2,$G103&lt;=2.5,2.5,$G103&lt;=3,3,$G103&lt;=3.5,3.5,$G103&lt;=4,4)</f>
        <v>0.5</v>
      </c>
      <c r="J103" s="18" cm="1">
        <f t="array" ref="J103">_xlfn.IFS($H103&lt;=500,0.5,$H103&lt;=1000,1,$H103&lt;=1500,1.5,$H103&lt;=2000,2,$H103&lt;=2500,2.5,$H103&lt;=3000,3,$H103&lt;=3500,3.5,$H103&lt;=4000,4)*1000</f>
        <v>500</v>
      </c>
      <c r="K103" s="6" t="str">
        <f>UPPER(VLOOKUP(C103,'Zones Pincode_Company X'!B:C,2,FALSE))</f>
        <v>B</v>
      </c>
      <c r="L103" s="18">
        <f>VLOOKUP(K103,'Rates_Courier Company'!$B$7:$C$12,2,0)</f>
        <v>33</v>
      </c>
      <c r="M103" s="18">
        <f>VLOOKUP(K103,'Rates_Courier Company'!$B$15:$C$20,2,FALSE)*(I103/0.5-1)</f>
        <v>0</v>
      </c>
      <c r="N103" s="6">
        <f>IF(F103="Yes",VLOOKUP(K103,'Rates_Courier Company'!$F$7:$G$12,2,0),0)</f>
        <v>0</v>
      </c>
      <c r="O103" s="6">
        <f>IF(F103="Yes",VLOOKUP(K103,'Rates_Courier Company'!$F$15:$G$20,2,0),0)*(I103/0.5 -1)</f>
        <v>0</v>
      </c>
      <c r="P103" s="18">
        <f t="shared" si="10"/>
        <v>33</v>
      </c>
      <c r="Q103" s="18">
        <f>VLOOKUP(A103,'Invoice_Courier Company'!B:C,2,0)</f>
        <v>0.7</v>
      </c>
      <c r="R103" s="18">
        <f t="shared" si="11"/>
        <v>1</v>
      </c>
      <c r="S103" s="6" t="str">
        <f>UPPER(VLOOKUP(A103,'Invoice_Courier Company'!B:G,5,FALSE))</f>
        <v>D</v>
      </c>
      <c r="T103" s="18">
        <f>VLOOKUP(A103,'Invoice_Courier Company'!B:H,7,0)</f>
        <v>90.2</v>
      </c>
      <c r="U103" s="18">
        <f t="shared" si="12"/>
        <v>-57.2</v>
      </c>
      <c r="V103" s="32">
        <f t="shared" si="13"/>
        <v>-1.7333333333333334</v>
      </c>
      <c r="W103" s="18">
        <f t="shared" si="14"/>
        <v>33</v>
      </c>
      <c r="X103" s="6">
        <f t="shared" si="15"/>
        <v>0</v>
      </c>
    </row>
    <row r="104" spans="1:24" x14ac:dyDescent="0.3">
      <c r="A104" s="7">
        <v>2001808585</v>
      </c>
      <c r="B104" s="7">
        <v>1091117436652</v>
      </c>
      <c r="C104" s="6">
        <f>VLOOKUP(A104,'Invoice_Courier Company'!B:E,4,FALSE)</f>
        <v>175101</v>
      </c>
      <c r="D104" s="6" t="str">
        <f>VLOOKUP(A104,'Invoice_Courier Company'!B:G,6,FALSE)</f>
        <v>Forward charges</v>
      </c>
      <c r="E104" s="6" t="str">
        <f t="shared" si="8"/>
        <v>Yes</v>
      </c>
      <c r="F104" s="6" t="str">
        <f t="shared" si="9"/>
        <v>No</v>
      </c>
      <c r="G104" s="18">
        <f>SUMIFS('Order Report_Company X'!E:E,'Order Report_Company X'!A:A,A104)/1000</f>
        <v>0.5</v>
      </c>
      <c r="H104" s="18">
        <f>SUMIFS('Order Report_Company X'!E:E,'Order Report_Company X'!A:A,'Order Level Calculation_Company'!A104)</f>
        <v>500</v>
      </c>
      <c r="I104" s="18" cm="1">
        <f t="array" ref="I104">_xlfn.IFS($G104&lt;=0.5,0.5,$G104&lt;=1,1,$G104&lt;=1.5,1.5,$G104&lt;=2,2,$G104&lt;=2.5,2.5,$G104&lt;=3,3,$G104&lt;=3.5,3.5,$G104&lt;=4,4)</f>
        <v>0.5</v>
      </c>
      <c r="J104" s="18" cm="1">
        <f t="array" ref="J104">_xlfn.IFS($H104&lt;=500,0.5,$H104&lt;=1000,1,$H104&lt;=1500,1.5,$H104&lt;=2000,2,$H104&lt;=2500,2.5,$H104&lt;=3000,3,$H104&lt;=3500,3.5,$H104&lt;=4000,4)*1000</f>
        <v>500</v>
      </c>
      <c r="K104" s="6" t="str">
        <f>UPPER(VLOOKUP(C104,'Zones Pincode_Company X'!B:C,2,FALSE))</f>
        <v>E</v>
      </c>
      <c r="L104" s="18">
        <f>VLOOKUP(K104,'Rates_Courier Company'!$B$7:$C$12,2,0)</f>
        <v>56.6</v>
      </c>
      <c r="M104" s="18">
        <f>VLOOKUP(K104,'Rates_Courier Company'!$B$15:$C$20,2,FALSE)*(I104/0.5-1)</f>
        <v>0</v>
      </c>
      <c r="N104" s="6">
        <f>IF(F104="Yes",VLOOKUP(K104,'Rates_Courier Company'!$F$7:$G$12,2,0),0)</f>
        <v>0</v>
      </c>
      <c r="O104" s="6">
        <f>IF(F104="Yes",VLOOKUP(K104,'Rates_Courier Company'!$F$15:$G$20,2,0),0)*(I104/0.5 -1)</f>
        <v>0</v>
      </c>
      <c r="P104" s="18">
        <f t="shared" si="10"/>
        <v>56.6</v>
      </c>
      <c r="Q104" s="18">
        <f>VLOOKUP(A104,'Invoice_Courier Company'!B:C,2,0)</f>
        <v>0.72</v>
      </c>
      <c r="R104" s="18">
        <f t="shared" si="11"/>
        <v>1</v>
      </c>
      <c r="S104" s="6" t="str">
        <f>UPPER(VLOOKUP(A104,'Invoice_Courier Company'!B:G,5,FALSE))</f>
        <v>B</v>
      </c>
      <c r="T104" s="18">
        <f>VLOOKUP(A104,'Invoice_Courier Company'!B:H,7,0)</f>
        <v>61.3</v>
      </c>
      <c r="U104" s="18">
        <f t="shared" si="12"/>
        <v>-4.6999999999999957</v>
      </c>
      <c r="V104" s="32">
        <f t="shared" si="13"/>
        <v>-8.3038869257950454E-2</v>
      </c>
      <c r="W104" s="18">
        <f t="shared" si="14"/>
        <v>56.6</v>
      </c>
      <c r="X104" s="6">
        <f t="shared" si="15"/>
        <v>0</v>
      </c>
    </row>
    <row r="105" spans="1:24" x14ac:dyDescent="0.3">
      <c r="A105" s="7">
        <v>2001808679</v>
      </c>
      <c r="B105" s="7">
        <v>1091117437035</v>
      </c>
      <c r="C105" s="6">
        <f>VLOOKUP(A105,'Invoice_Courier Company'!B:E,4,FALSE)</f>
        <v>303903</v>
      </c>
      <c r="D105" s="6" t="str">
        <f>VLOOKUP(A105,'Invoice_Courier Company'!B:G,6,FALSE)</f>
        <v>Forward charges</v>
      </c>
      <c r="E105" s="6" t="str">
        <f t="shared" si="8"/>
        <v>Yes</v>
      </c>
      <c r="F105" s="6" t="str">
        <f t="shared" si="9"/>
        <v>No</v>
      </c>
      <c r="G105" s="18">
        <f>SUMIFS('Order Report_Company X'!E:E,'Order Report_Company X'!A:A,A105)/1000</f>
        <v>0.5</v>
      </c>
      <c r="H105" s="18">
        <f>SUMIFS('Order Report_Company X'!E:E,'Order Report_Company X'!A:A,'Order Level Calculation_Company'!A105)</f>
        <v>500</v>
      </c>
      <c r="I105" s="18" cm="1">
        <f t="array" ref="I105">_xlfn.IFS($G105&lt;=0.5,0.5,$G105&lt;=1,1,$G105&lt;=1.5,1.5,$G105&lt;=2,2,$G105&lt;=2.5,2.5,$G105&lt;=3,3,$G105&lt;=3.5,3.5,$G105&lt;=4,4)</f>
        <v>0.5</v>
      </c>
      <c r="J105" s="18" cm="1">
        <f t="array" ref="J105">_xlfn.IFS($H105&lt;=500,0.5,$H105&lt;=1000,1,$H105&lt;=1500,1.5,$H105&lt;=2000,2,$H105&lt;=2500,2.5,$H105&lt;=3000,3,$H105&lt;=3500,3.5,$H105&lt;=4000,4)*1000</f>
        <v>500</v>
      </c>
      <c r="K105" s="6" t="str">
        <f>UPPER(VLOOKUP(C105,'Zones Pincode_Company X'!B:C,2,FALSE))</f>
        <v>B</v>
      </c>
      <c r="L105" s="18">
        <f>VLOOKUP(K105,'Rates_Courier Company'!$B$7:$C$12,2,0)</f>
        <v>33</v>
      </c>
      <c r="M105" s="18">
        <f>VLOOKUP(K105,'Rates_Courier Company'!$B$15:$C$20,2,FALSE)*(I105/0.5-1)</f>
        <v>0</v>
      </c>
      <c r="N105" s="6">
        <f>IF(F105="Yes",VLOOKUP(K105,'Rates_Courier Company'!$F$7:$G$12,2,0),0)</f>
        <v>0</v>
      </c>
      <c r="O105" s="6">
        <f>IF(F105="Yes",VLOOKUP(K105,'Rates_Courier Company'!$F$15:$G$20,2,0),0)*(I105/0.5 -1)</f>
        <v>0</v>
      </c>
      <c r="P105" s="18">
        <f t="shared" si="10"/>
        <v>33</v>
      </c>
      <c r="Q105" s="18">
        <f>VLOOKUP(A105,'Invoice_Courier Company'!B:C,2,0)</f>
        <v>0.72</v>
      </c>
      <c r="R105" s="18">
        <f t="shared" si="11"/>
        <v>1</v>
      </c>
      <c r="S105" s="6" t="str">
        <f>UPPER(VLOOKUP(A105,'Invoice_Courier Company'!B:G,5,FALSE))</f>
        <v>D</v>
      </c>
      <c r="T105" s="18">
        <f>VLOOKUP(A105,'Invoice_Courier Company'!B:H,7,0)</f>
        <v>90.2</v>
      </c>
      <c r="U105" s="18">
        <f t="shared" si="12"/>
        <v>-57.2</v>
      </c>
      <c r="V105" s="32">
        <f t="shared" si="13"/>
        <v>-1.7333333333333334</v>
      </c>
      <c r="W105" s="18">
        <f t="shared" si="14"/>
        <v>33</v>
      </c>
      <c r="X105" s="6">
        <f t="shared" si="15"/>
        <v>0</v>
      </c>
    </row>
    <row r="106" spans="1:24" x14ac:dyDescent="0.3">
      <c r="A106" s="7">
        <v>2001808739</v>
      </c>
      <c r="B106" s="7">
        <v>1091117437293</v>
      </c>
      <c r="C106" s="6">
        <f>VLOOKUP(A106,'Invoice_Courier Company'!B:E,4,FALSE)</f>
        <v>342012</v>
      </c>
      <c r="D106" s="6" t="str">
        <f>VLOOKUP(A106,'Invoice_Courier Company'!B:G,6,FALSE)</f>
        <v>Forward charges</v>
      </c>
      <c r="E106" s="6" t="str">
        <f t="shared" si="8"/>
        <v>Yes</v>
      </c>
      <c r="F106" s="6" t="str">
        <f t="shared" si="9"/>
        <v>No</v>
      </c>
      <c r="G106" s="18">
        <f>SUMIFS('Order Report_Company X'!E:E,'Order Report_Company X'!A:A,A106)/1000</f>
        <v>0.22</v>
      </c>
      <c r="H106" s="18">
        <f>SUMIFS('Order Report_Company X'!E:E,'Order Report_Company X'!A:A,'Order Level Calculation_Company'!A106)</f>
        <v>220</v>
      </c>
      <c r="I106" s="18" cm="1">
        <f t="array" ref="I106">_xlfn.IFS($G106&lt;=0.5,0.5,$G106&lt;=1,1,$G106&lt;=1.5,1.5,$G106&lt;=2,2,$G106&lt;=2.5,2.5,$G106&lt;=3,3,$G106&lt;=3.5,3.5,$G106&lt;=4,4)</f>
        <v>0.5</v>
      </c>
      <c r="J106" s="18" cm="1">
        <f t="array" ref="J106">_xlfn.IFS($H106&lt;=500,0.5,$H106&lt;=1000,1,$H106&lt;=1500,1.5,$H106&lt;=2000,2,$H106&lt;=2500,2.5,$H106&lt;=3000,3,$H106&lt;=3500,3.5,$H106&lt;=4000,4)*1000</f>
        <v>500</v>
      </c>
      <c r="K106" s="6" t="str">
        <f>UPPER(VLOOKUP(C106,'Zones Pincode_Company X'!B:C,2,FALSE))</f>
        <v>B</v>
      </c>
      <c r="L106" s="18">
        <f>VLOOKUP(K106,'Rates_Courier Company'!$B$7:$C$12,2,0)</f>
        <v>33</v>
      </c>
      <c r="M106" s="18">
        <f>VLOOKUP(K106,'Rates_Courier Company'!$B$15:$C$20,2,FALSE)*(I106/0.5-1)</f>
        <v>0</v>
      </c>
      <c r="N106" s="6">
        <f>IF(F106="Yes",VLOOKUP(K106,'Rates_Courier Company'!$F$7:$G$12,2,0),0)</f>
        <v>0</v>
      </c>
      <c r="O106" s="6">
        <f>IF(F106="Yes",VLOOKUP(K106,'Rates_Courier Company'!$F$15:$G$20,2,0),0)*(I106/0.5 -1)</f>
        <v>0</v>
      </c>
      <c r="P106" s="18">
        <f t="shared" si="10"/>
        <v>33</v>
      </c>
      <c r="Q106" s="18">
        <f>VLOOKUP(A106,'Invoice_Courier Company'!B:C,2,0)</f>
        <v>1.63</v>
      </c>
      <c r="R106" s="18">
        <f t="shared" si="11"/>
        <v>2</v>
      </c>
      <c r="S106" s="6" t="str">
        <f>UPPER(VLOOKUP(A106,'Invoice_Courier Company'!B:G,5,FALSE))</f>
        <v>D</v>
      </c>
      <c r="T106" s="18">
        <f>VLOOKUP(A106,'Invoice_Courier Company'!B:H,7,0)</f>
        <v>179.8</v>
      </c>
      <c r="U106" s="18">
        <f t="shared" si="12"/>
        <v>-146.80000000000001</v>
      </c>
      <c r="V106" s="32">
        <f t="shared" si="13"/>
        <v>-4.4484848484848492</v>
      </c>
      <c r="W106" s="18">
        <f t="shared" si="14"/>
        <v>33</v>
      </c>
      <c r="X106" s="6">
        <f t="shared" si="15"/>
        <v>0</v>
      </c>
    </row>
    <row r="107" spans="1:24" x14ac:dyDescent="0.3">
      <c r="A107" s="7">
        <v>2001808832</v>
      </c>
      <c r="B107" s="7">
        <v>1091117437864</v>
      </c>
      <c r="C107" s="6">
        <f>VLOOKUP(A107,'Invoice_Courier Company'!B:E,4,FALSE)</f>
        <v>334001</v>
      </c>
      <c r="D107" s="6" t="str">
        <f>VLOOKUP(A107,'Invoice_Courier Company'!B:G,6,FALSE)</f>
        <v>Forward charges</v>
      </c>
      <c r="E107" s="6" t="str">
        <f t="shared" si="8"/>
        <v>Yes</v>
      </c>
      <c r="F107" s="6" t="str">
        <f t="shared" si="9"/>
        <v>No</v>
      </c>
      <c r="G107" s="18">
        <f>SUMIFS('Order Report_Company X'!E:E,'Order Report_Company X'!A:A,A107)/1000</f>
        <v>0.6</v>
      </c>
      <c r="H107" s="18">
        <f>SUMIFS('Order Report_Company X'!E:E,'Order Report_Company X'!A:A,'Order Level Calculation_Company'!A107)</f>
        <v>600</v>
      </c>
      <c r="I107" s="18" cm="1">
        <f t="array" ref="I107">_xlfn.IFS($G107&lt;=0.5,0.5,$G107&lt;=1,1,$G107&lt;=1.5,1.5,$G107&lt;=2,2,$G107&lt;=2.5,2.5,$G107&lt;=3,3,$G107&lt;=3.5,3.5,$G107&lt;=4,4)</f>
        <v>1</v>
      </c>
      <c r="J107" s="18" cm="1">
        <f t="array" ref="J107">_xlfn.IFS($H107&lt;=500,0.5,$H107&lt;=1000,1,$H107&lt;=1500,1.5,$H107&lt;=2000,2,$H107&lt;=2500,2.5,$H107&lt;=3000,3,$H107&lt;=3500,3.5,$H107&lt;=4000,4)*1000</f>
        <v>1000</v>
      </c>
      <c r="K107" s="6" t="str">
        <f>UPPER(VLOOKUP(C107,'Zones Pincode_Company X'!B:C,2,FALSE))</f>
        <v>B</v>
      </c>
      <c r="L107" s="18">
        <f>VLOOKUP(K107,'Rates_Courier Company'!$B$7:$C$12,2,0)</f>
        <v>33</v>
      </c>
      <c r="M107" s="18">
        <f>VLOOKUP(K107,'Rates_Courier Company'!$B$15:$C$20,2,FALSE)*(I107/0.5-1)</f>
        <v>28.3</v>
      </c>
      <c r="N107" s="6">
        <f>IF(F107="Yes",VLOOKUP(K107,'Rates_Courier Company'!$F$7:$G$12,2,0),0)</f>
        <v>0</v>
      </c>
      <c r="O107" s="6">
        <f>IF(F107="Yes",VLOOKUP(K107,'Rates_Courier Company'!$F$15:$G$20,2,0),0)*(I107/0.5 -1)</f>
        <v>0</v>
      </c>
      <c r="P107" s="18">
        <f t="shared" si="10"/>
        <v>61.3</v>
      </c>
      <c r="Q107" s="18">
        <f>VLOOKUP(A107,'Invoice_Courier Company'!B:C,2,0)</f>
        <v>2.4700000000000002</v>
      </c>
      <c r="R107" s="18">
        <f t="shared" si="11"/>
        <v>2.5</v>
      </c>
      <c r="S107" s="6" t="str">
        <f>UPPER(VLOOKUP(A107,'Invoice_Courier Company'!B:G,5,FALSE))</f>
        <v>D</v>
      </c>
      <c r="T107" s="18">
        <f>VLOOKUP(A107,'Invoice_Courier Company'!B:H,7,0)</f>
        <v>224.6</v>
      </c>
      <c r="U107" s="18">
        <f t="shared" si="12"/>
        <v>-163.30000000000001</v>
      </c>
      <c r="V107" s="32">
        <f t="shared" si="13"/>
        <v>-2.6639477977161503</v>
      </c>
      <c r="W107" s="18">
        <f t="shared" si="14"/>
        <v>61.3</v>
      </c>
      <c r="X107" s="6">
        <f t="shared" si="15"/>
        <v>0</v>
      </c>
    </row>
    <row r="108" spans="1:24" x14ac:dyDescent="0.3">
      <c r="A108" s="7">
        <v>2001808837</v>
      </c>
      <c r="B108" s="7">
        <v>1091117437890</v>
      </c>
      <c r="C108" s="6">
        <f>VLOOKUP(A108,'Invoice_Courier Company'!B:E,4,FALSE)</f>
        <v>302031</v>
      </c>
      <c r="D108" s="6" t="str">
        <f>VLOOKUP(A108,'Invoice_Courier Company'!B:G,6,FALSE)</f>
        <v>Forward charges</v>
      </c>
      <c r="E108" s="6" t="str">
        <f t="shared" si="8"/>
        <v>Yes</v>
      </c>
      <c r="F108" s="6" t="str">
        <f t="shared" si="9"/>
        <v>No</v>
      </c>
      <c r="G108" s="18">
        <f>SUMIFS('Order Report_Company X'!E:E,'Order Report_Company X'!A:A,A108)/1000</f>
        <v>0.5</v>
      </c>
      <c r="H108" s="18">
        <f>SUMIFS('Order Report_Company X'!E:E,'Order Report_Company X'!A:A,'Order Level Calculation_Company'!A108)</f>
        <v>500</v>
      </c>
      <c r="I108" s="18" cm="1">
        <f t="array" ref="I108">_xlfn.IFS($G108&lt;=0.5,0.5,$G108&lt;=1,1,$G108&lt;=1.5,1.5,$G108&lt;=2,2,$G108&lt;=2.5,2.5,$G108&lt;=3,3,$G108&lt;=3.5,3.5,$G108&lt;=4,4)</f>
        <v>0.5</v>
      </c>
      <c r="J108" s="18" cm="1">
        <f t="array" ref="J108">_xlfn.IFS($H108&lt;=500,0.5,$H108&lt;=1000,1,$H108&lt;=1500,1.5,$H108&lt;=2000,2,$H108&lt;=2500,2.5,$H108&lt;=3000,3,$H108&lt;=3500,3.5,$H108&lt;=4000,4)*1000</f>
        <v>500</v>
      </c>
      <c r="K108" s="6" t="str">
        <f>UPPER(VLOOKUP(C108,'Zones Pincode_Company X'!B:C,2,FALSE))</f>
        <v>B</v>
      </c>
      <c r="L108" s="18">
        <f>VLOOKUP(K108,'Rates_Courier Company'!$B$7:$C$12,2,0)</f>
        <v>33</v>
      </c>
      <c r="M108" s="18">
        <f>VLOOKUP(K108,'Rates_Courier Company'!$B$15:$C$20,2,FALSE)*(I108/0.5-1)</f>
        <v>0</v>
      </c>
      <c r="N108" s="6">
        <f>IF(F108="Yes",VLOOKUP(K108,'Rates_Courier Company'!$F$7:$G$12,2,0),0)</f>
        <v>0</v>
      </c>
      <c r="O108" s="6">
        <f>IF(F108="Yes",VLOOKUP(K108,'Rates_Courier Company'!$F$15:$G$20,2,0),0)*(I108/0.5 -1)</f>
        <v>0</v>
      </c>
      <c r="P108" s="18">
        <f t="shared" si="10"/>
        <v>33</v>
      </c>
      <c r="Q108" s="18">
        <f>VLOOKUP(A108,'Invoice_Courier Company'!B:C,2,0)</f>
        <v>0.67</v>
      </c>
      <c r="R108" s="18">
        <f t="shared" si="11"/>
        <v>1</v>
      </c>
      <c r="S108" s="6" t="str">
        <f>UPPER(VLOOKUP(A108,'Invoice_Courier Company'!B:G,5,FALSE))</f>
        <v>D</v>
      </c>
      <c r="T108" s="18">
        <f>VLOOKUP(A108,'Invoice_Courier Company'!B:H,7,0)</f>
        <v>90.2</v>
      </c>
      <c r="U108" s="18">
        <f t="shared" si="12"/>
        <v>-57.2</v>
      </c>
      <c r="V108" s="32">
        <f t="shared" si="13"/>
        <v>-1.7333333333333334</v>
      </c>
      <c r="W108" s="18">
        <f t="shared" si="14"/>
        <v>33</v>
      </c>
      <c r="X108" s="6">
        <f t="shared" si="15"/>
        <v>0</v>
      </c>
    </row>
    <row r="109" spans="1:24" x14ac:dyDescent="0.3">
      <c r="A109" s="7">
        <v>2001808883</v>
      </c>
      <c r="B109" s="7">
        <v>1091117438074</v>
      </c>
      <c r="C109" s="6">
        <f>VLOOKUP(A109,'Invoice_Courier Company'!B:E,4,FALSE)</f>
        <v>302012</v>
      </c>
      <c r="D109" s="6" t="str">
        <f>VLOOKUP(A109,'Invoice_Courier Company'!B:G,6,FALSE)</f>
        <v>Forward charges</v>
      </c>
      <c r="E109" s="6" t="str">
        <f t="shared" si="8"/>
        <v>Yes</v>
      </c>
      <c r="F109" s="6" t="str">
        <f t="shared" si="9"/>
        <v>No</v>
      </c>
      <c r="G109" s="18">
        <f>SUMIFS('Order Report_Company X'!E:E,'Order Report_Company X'!A:A,A109)/1000</f>
        <v>0.5</v>
      </c>
      <c r="H109" s="18">
        <f>SUMIFS('Order Report_Company X'!E:E,'Order Report_Company X'!A:A,'Order Level Calculation_Company'!A109)</f>
        <v>500</v>
      </c>
      <c r="I109" s="18" cm="1">
        <f t="array" ref="I109">_xlfn.IFS($G109&lt;=0.5,0.5,$G109&lt;=1,1,$G109&lt;=1.5,1.5,$G109&lt;=2,2,$G109&lt;=2.5,2.5,$G109&lt;=3,3,$G109&lt;=3.5,3.5,$G109&lt;=4,4)</f>
        <v>0.5</v>
      </c>
      <c r="J109" s="18" cm="1">
        <f t="array" ref="J109">_xlfn.IFS($H109&lt;=500,0.5,$H109&lt;=1000,1,$H109&lt;=1500,1.5,$H109&lt;=2000,2,$H109&lt;=2500,2.5,$H109&lt;=3000,3,$H109&lt;=3500,3.5,$H109&lt;=4000,4)*1000</f>
        <v>500</v>
      </c>
      <c r="K109" s="6" t="str">
        <f>UPPER(VLOOKUP(C109,'Zones Pincode_Company X'!B:C,2,FALSE))</f>
        <v>B</v>
      </c>
      <c r="L109" s="18">
        <f>VLOOKUP(K109,'Rates_Courier Company'!$B$7:$C$12,2,0)</f>
        <v>33</v>
      </c>
      <c r="M109" s="18">
        <f>VLOOKUP(K109,'Rates_Courier Company'!$B$15:$C$20,2,FALSE)*(I109/0.5-1)</f>
        <v>0</v>
      </c>
      <c r="N109" s="6">
        <f>IF(F109="Yes",VLOOKUP(K109,'Rates_Courier Company'!$F$7:$G$12,2,0),0)</f>
        <v>0</v>
      </c>
      <c r="O109" s="6">
        <f>IF(F109="Yes",VLOOKUP(K109,'Rates_Courier Company'!$F$15:$G$20,2,0),0)*(I109/0.5 -1)</f>
        <v>0</v>
      </c>
      <c r="P109" s="18">
        <f t="shared" si="10"/>
        <v>33</v>
      </c>
      <c r="Q109" s="18">
        <f>VLOOKUP(A109,'Invoice_Courier Company'!B:C,2,0)</f>
        <v>0.72</v>
      </c>
      <c r="R109" s="18">
        <f t="shared" si="11"/>
        <v>1</v>
      </c>
      <c r="S109" s="6" t="str">
        <f>UPPER(VLOOKUP(A109,'Invoice_Courier Company'!B:G,5,FALSE))</f>
        <v>D</v>
      </c>
      <c r="T109" s="18">
        <f>VLOOKUP(A109,'Invoice_Courier Company'!B:H,7,0)</f>
        <v>90.2</v>
      </c>
      <c r="U109" s="18">
        <f t="shared" si="12"/>
        <v>-57.2</v>
      </c>
      <c r="V109" s="32">
        <f t="shared" si="13"/>
        <v>-1.7333333333333334</v>
      </c>
      <c r="W109" s="18">
        <f t="shared" si="14"/>
        <v>33</v>
      </c>
      <c r="X109" s="6">
        <f t="shared" si="15"/>
        <v>0</v>
      </c>
    </row>
    <row r="110" spans="1:24" x14ac:dyDescent="0.3">
      <c r="A110" s="7">
        <v>2001808992</v>
      </c>
      <c r="B110" s="7">
        <v>1091117611501</v>
      </c>
      <c r="C110" s="6">
        <f>VLOOKUP(A110,'Invoice_Courier Company'!B:E,4,FALSE)</f>
        <v>342014</v>
      </c>
      <c r="D110" s="6" t="str">
        <f>VLOOKUP(A110,'Invoice_Courier Company'!B:G,6,FALSE)</f>
        <v>Forward charges</v>
      </c>
      <c r="E110" s="6" t="str">
        <f t="shared" si="8"/>
        <v>Yes</v>
      </c>
      <c r="F110" s="6" t="str">
        <f t="shared" si="9"/>
        <v>No</v>
      </c>
      <c r="G110" s="18">
        <f>SUMIFS('Order Report_Company X'!E:E,'Order Report_Company X'!A:A,A110)/1000</f>
        <v>0.5</v>
      </c>
      <c r="H110" s="18">
        <f>SUMIFS('Order Report_Company X'!E:E,'Order Report_Company X'!A:A,'Order Level Calculation_Company'!A110)</f>
        <v>500</v>
      </c>
      <c r="I110" s="18" cm="1">
        <f t="array" ref="I110">_xlfn.IFS($G110&lt;=0.5,0.5,$G110&lt;=1,1,$G110&lt;=1.5,1.5,$G110&lt;=2,2,$G110&lt;=2.5,2.5,$G110&lt;=3,3,$G110&lt;=3.5,3.5,$G110&lt;=4,4)</f>
        <v>0.5</v>
      </c>
      <c r="J110" s="18" cm="1">
        <f t="array" ref="J110">_xlfn.IFS($H110&lt;=500,0.5,$H110&lt;=1000,1,$H110&lt;=1500,1.5,$H110&lt;=2000,2,$H110&lt;=2500,2.5,$H110&lt;=3000,3,$H110&lt;=3500,3.5,$H110&lt;=4000,4)*1000</f>
        <v>500</v>
      </c>
      <c r="K110" s="6" t="str">
        <f>UPPER(VLOOKUP(C110,'Zones Pincode_Company X'!B:C,2,FALSE))</f>
        <v>B</v>
      </c>
      <c r="L110" s="18">
        <f>VLOOKUP(K110,'Rates_Courier Company'!$B$7:$C$12,2,0)</f>
        <v>33</v>
      </c>
      <c r="M110" s="18">
        <f>VLOOKUP(K110,'Rates_Courier Company'!$B$15:$C$20,2,FALSE)*(I110/0.5-1)</f>
        <v>0</v>
      </c>
      <c r="N110" s="6">
        <f>IF(F110="Yes",VLOOKUP(K110,'Rates_Courier Company'!$F$7:$G$12,2,0),0)</f>
        <v>0</v>
      </c>
      <c r="O110" s="6">
        <f>IF(F110="Yes",VLOOKUP(K110,'Rates_Courier Company'!$F$15:$G$20,2,0),0)*(I110/0.5 -1)</f>
        <v>0</v>
      </c>
      <c r="P110" s="18">
        <f t="shared" si="10"/>
        <v>33</v>
      </c>
      <c r="Q110" s="18">
        <f>VLOOKUP(A110,'Invoice_Courier Company'!B:C,2,0)</f>
        <v>0.72</v>
      </c>
      <c r="R110" s="18">
        <f t="shared" si="11"/>
        <v>1</v>
      </c>
      <c r="S110" s="6" t="str">
        <f>UPPER(VLOOKUP(A110,'Invoice_Courier Company'!B:G,5,FALSE))</f>
        <v>D</v>
      </c>
      <c r="T110" s="18">
        <f>VLOOKUP(A110,'Invoice_Courier Company'!B:H,7,0)</f>
        <v>90.2</v>
      </c>
      <c r="U110" s="18">
        <f t="shared" si="12"/>
        <v>-57.2</v>
      </c>
      <c r="V110" s="32">
        <f t="shared" si="13"/>
        <v>-1.7333333333333334</v>
      </c>
      <c r="W110" s="18">
        <f t="shared" si="14"/>
        <v>33</v>
      </c>
      <c r="X110" s="6">
        <f t="shared" si="15"/>
        <v>0</v>
      </c>
    </row>
    <row r="111" spans="1:24" x14ac:dyDescent="0.3">
      <c r="A111" s="7">
        <v>2001809270</v>
      </c>
      <c r="B111" s="7">
        <v>1091117613962</v>
      </c>
      <c r="C111" s="6">
        <f>VLOOKUP(A111,'Invoice_Courier Company'!B:E,4,FALSE)</f>
        <v>324005</v>
      </c>
      <c r="D111" s="6" t="str">
        <f>VLOOKUP(A111,'Invoice_Courier Company'!B:G,6,FALSE)</f>
        <v>Forward charges</v>
      </c>
      <c r="E111" s="6" t="str">
        <f t="shared" si="8"/>
        <v>Yes</v>
      </c>
      <c r="F111" s="6" t="str">
        <f t="shared" si="9"/>
        <v>No</v>
      </c>
      <c r="G111" s="18">
        <f>SUMIFS('Order Report_Company X'!E:E,'Order Report_Company X'!A:A,A111)/1000</f>
        <v>0.5</v>
      </c>
      <c r="H111" s="18">
        <f>SUMIFS('Order Report_Company X'!E:E,'Order Report_Company X'!A:A,'Order Level Calculation_Company'!A111)</f>
        <v>500</v>
      </c>
      <c r="I111" s="18" cm="1">
        <f t="array" ref="I111">_xlfn.IFS($G111&lt;=0.5,0.5,$G111&lt;=1,1,$G111&lt;=1.5,1.5,$G111&lt;=2,2,$G111&lt;=2.5,2.5,$G111&lt;=3,3,$G111&lt;=3.5,3.5,$G111&lt;=4,4)</f>
        <v>0.5</v>
      </c>
      <c r="J111" s="18" cm="1">
        <f t="array" ref="J111">_xlfn.IFS($H111&lt;=500,0.5,$H111&lt;=1000,1,$H111&lt;=1500,1.5,$H111&lt;=2000,2,$H111&lt;=2500,2.5,$H111&lt;=3000,3,$H111&lt;=3500,3.5,$H111&lt;=4000,4)*1000</f>
        <v>500</v>
      </c>
      <c r="K111" s="6" t="str">
        <f>UPPER(VLOOKUP(C111,'Zones Pincode_Company X'!B:C,2,FALSE))</f>
        <v>B</v>
      </c>
      <c r="L111" s="18">
        <f>VLOOKUP(K111,'Rates_Courier Company'!$B$7:$C$12,2,0)</f>
        <v>33</v>
      </c>
      <c r="M111" s="18">
        <f>VLOOKUP(K111,'Rates_Courier Company'!$B$15:$C$20,2,FALSE)*(I111/0.5-1)</f>
        <v>0</v>
      </c>
      <c r="N111" s="6">
        <f>IF(F111="Yes",VLOOKUP(K111,'Rates_Courier Company'!$F$7:$G$12,2,0),0)</f>
        <v>0</v>
      </c>
      <c r="O111" s="6">
        <f>IF(F111="Yes",VLOOKUP(K111,'Rates_Courier Company'!$F$15:$G$20,2,0),0)*(I111/0.5 -1)</f>
        <v>0</v>
      </c>
      <c r="P111" s="18">
        <f t="shared" si="10"/>
        <v>33</v>
      </c>
      <c r="Q111" s="18">
        <f>VLOOKUP(A111,'Invoice_Courier Company'!B:C,2,0)</f>
        <v>0.68</v>
      </c>
      <c r="R111" s="18">
        <f t="shared" si="11"/>
        <v>1</v>
      </c>
      <c r="S111" s="6" t="str">
        <f>UPPER(VLOOKUP(A111,'Invoice_Courier Company'!B:G,5,FALSE))</f>
        <v>D</v>
      </c>
      <c r="T111" s="18">
        <f>VLOOKUP(A111,'Invoice_Courier Company'!B:H,7,0)</f>
        <v>90.2</v>
      </c>
      <c r="U111" s="18">
        <f t="shared" si="12"/>
        <v>-57.2</v>
      </c>
      <c r="V111" s="32">
        <f t="shared" si="13"/>
        <v>-1.7333333333333334</v>
      </c>
      <c r="W111" s="18">
        <f t="shared" si="14"/>
        <v>33</v>
      </c>
      <c r="X111" s="6">
        <f t="shared" si="15"/>
        <v>0</v>
      </c>
    </row>
    <row r="112" spans="1:24" x14ac:dyDescent="0.3">
      <c r="A112" s="7">
        <v>2001809934</v>
      </c>
      <c r="B112" s="7">
        <v>1091117803511</v>
      </c>
      <c r="C112" s="6">
        <f>VLOOKUP(A112,'Invoice_Courier Company'!B:E,4,FALSE)</f>
        <v>302001</v>
      </c>
      <c r="D112" s="6" t="str">
        <f>VLOOKUP(A112,'Invoice_Courier Company'!B:G,6,FALSE)</f>
        <v>Forward charges</v>
      </c>
      <c r="E112" s="6" t="str">
        <f t="shared" si="8"/>
        <v>Yes</v>
      </c>
      <c r="F112" s="6" t="str">
        <f t="shared" si="9"/>
        <v>No</v>
      </c>
      <c r="G112" s="18">
        <f>SUMIFS('Order Report_Company X'!E:E,'Order Report_Company X'!A:A,A112)/1000</f>
        <v>0.36099999999999999</v>
      </c>
      <c r="H112" s="18">
        <f>SUMIFS('Order Report_Company X'!E:E,'Order Report_Company X'!A:A,'Order Level Calculation_Company'!A112)</f>
        <v>361</v>
      </c>
      <c r="I112" s="18" cm="1">
        <f t="array" ref="I112">_xlfn.IFS($G112&lt;=0.5,0.5,$G112&lt;=1,1,$G112&lt;=1.5,1.5,$G112&lt;=2,2,$G112&lt;=2.5,2.5,$G112&lt;=3,3,$G112&lt;=3.5,3.5,$G112&lt;=4,4)</f>
        <v>0.5</v>
      </c>
      <c r="J112" s="18" cm="1">
        <f t="array" ref="J112">_xlfn.IFS($H112&lt;=500,0.5,$H112&lt;=1000,1,$H112&lt;=1500,1.5,$H112&lt;=2000,2,$H112&lt;=2500,2.5,$H112&lt;=3000,3,$H112&lt;=3500,3.5,$H112&lt;=4000,4)*1000</f>
        <v>500</v>
      </c>
      <c r="K112" s="6" t="str">
        <f>UPPER(VLOOKUP(C112,'Zones Pincode_Company X'!B:C,2,FALSE))</f>
        <v>B</v>
      </c>
      <c r="L112" s="18">
        <f>VLOOKUP(K112,'Rates_Courier Company'!$B$7:$C$12,2,0)</f>
        <v>33</v>
      </c>
      <c r="M112" s="18">
        <f>VLOOKUP(K112,'Rates_Courier Company'!$B$15:$C$20,2,FALSE)*(I112/0.5-1)</f>
        <v>0</v>
      </c>
      <c r="N112" s="6">
        <f>IF(F112="Yes",VLOOKUP(K112,'Rates_Courier Company'!$F$7:$G$12,2,0),0)</f>
        <v>0</v>
      </c>
      <c r="O112" s="6">
        <f>IF(F112="Yes",VLOOKUP(K112,'Rates_Courier Company'!$F$15:$G$20,2,0),0)*(I112/0.5 -1)</f>
        <v>0</v>
      </c>
      <c r="P112" s="18">
        <f t="shared" si="10"/>
        <v>33</v>
      </c>
      <c r="Q112" s="18">
        <f>VLOOKUP(A112,'Invoice_Courier Company'!B:C,2,0)</f>
        <v>0.82</v>
      </c>
      <c r="R112" s="18">
        <f t="shared" si="11"/>
        <v>1</v>
      </c>
      <c r="S112" s="6" t="str">
        <f>UPPER(VLOOKUP(A112,'Invoice_Courier Company'!B:G,5,FALSE))</f>
        <v>D</v>
      </c>
      <c r="T112" s="18">
        <f>VLOOKUP(A112,'Invoice_Courier Company'!B:H,7,0)</f>
        <v>90.2</v>
      </c>
      <c r="U112" s="18">
        <f t="shared" si="12"/>
        <v>-57.2</v>
      </c>
      <c r="V112" s="32">
        <f t="shared" si="13"/>
        <v>-1.7333333333333334</v>
      </c>
      <c r="W112" s="18">
        <f t="shared" si="14"/>
        <v>33</v>
      </c>
      <c r="X112" s="6">
        <f t="shared" si="15"/>
        <v>0</v>
      </c>
    </row>
    <row r="113" spans="1:24" x14ac:dyDescent="0.3">
      <c r="A113" s="7">
        <v>2001810125</v>
      </c>
      <c r="B113" s="7">
        <v>1091117804314</v>
      </c>
      <c r="C113" s="6">
        <f>VLOOKUP(A113,'Invoice_Courier Company'!B:E,4,FALSE)</f>
        <v>302004</v>
      </c>
      <c r="D113" s="6" t="str">
        <f>VLOOKUP(A113,'Invoice_Courier Company'!B:G,6,FALSE)</f>
        <v>Forward charges</v>
      </c>
      <c r="E113" s="6" t="str">
        <f t="shared" si="8"/>
        <v>Yes</v>
      </c>
      <c r="F113" s="6" t="str">
        <f t="shared" si="9"/>
        <v>No</v>
      </c>
      <c r="G113" s="18">
        <f>SUMIFS('Order Report_Company X'!E:E,'Order Report_Company X'!A:A,A113)/1000</f>
        <v>0.5</v>
      </c>
      <c r="H113" s="18">
        <f>SUMIFS('Order Report_Company X'!E:E,'Order Report_Company X'!A:A,'Order Level Calculation_Company'!A113)</f>
        <v>500</v>
      </c>
      <c r="I113" s="18" cm="1">
        <f t="array" ref="I113">_xlfn.IFS($G113&lt;=0.5,0.5,$G113&lt;=1,1,$G113&lt;=1.5,1.5,$G113&lt;=2,2,$G113&lt;=2.5,2.5,$G113&lt;=3,3,$G113&lt;=3.5,3.5,$G113&lt;=4,4)</f>
        <v>0.5</v>
      </c>
      <c r="J113" s="18" cm="1">
        <f t="array" ref="J113">_xlfn.IFS($H113&lt;=500,0.5,$H113&lt;=1000,1,$H113&lt;=1500,1.5,$H113&lt;=2000,2,$H113&lt;=2500,2.5,$H113&lt;=3000,3,$H113&lt;=3500,3.5,$H113&lt;=4000,4)*1000</f>
        <v>500</v>
      </c>
      <c r="K113" s="6" t="str">
        <f>UPPER(VLOOKUP(C113,'Zones Pincode_Company X'!B:C,2,FALSE))</f>
        <v>B</v>
      </c>
      <c r="L113" s="18">
        <f>VLOOKUP(K113,'Rates_Courier Company'!$B$7:$C$12,2,0)</f>
        <v>33</v>
      </c>
      <c r="M113" s="18">
        <f>VLOOKUP(K113,'Rates_Courier Company'!$B$15:$C$20,2,FALSE)*(I113/0.5-1)</f>
        <v>0</v>
      </c>
      <c r="N113" s="6">
        <f>IF(F113="Yes",VLOOKUP(K113,'Rates_Courier Company'!$F$7:$G$12,2,0),0)</f>
        <v>0</v>
      </c>
      <c r="O113" s="6">
        <f>IF(F113="Yes",VLOOKUP(K113,'Rates_Courier Company'!$F$15:$G$20,2,0),0)*(I113/0.5 -1)</f>
        <v>0</v>
      </c>
      <c r="P113" s="18">
        <f t="shared" si="10"/>
        <v>33</v>
      </c>
      <c r="Q113" s="18">
        <f>VLOOKUP(A113,'Invoice_Courier Company'!B:C,2,0)</f>
        <v>0.66</v>
      </c>
      <c r="R113" s="18">
        <f t="shared" si="11"/>
        <v>1</v>
      </c>
      <c r="S113" s="6" t="str">
        <f>UPPER(VLOOKUP(A113,'Invoice_Courier Company'!B:G,5,FALSE))</f>
        <v>D</v>
      </c>
      <c r="T113" s="18">
        <f>VLOOKUP(A113,'Invoice_Courier Company'!B:H,7,0)</f>
        <v>90.2</v>
      </c>
      <c r="U113" s="18">
        <f t="shared" si="12"/>
        <v>-57.2</v>
      </c>
      <c r="V113" s="32">
        <f t="shared" si="13"/>
        <v>-1.7333333333333334</v>
      </c>
      <c r="W113" s="18">
        <f t="shared" si="14"/>
        <v>33</v>
      </c>
      <c r="X113" s="6">
        <f t="shared" si="15"/>
        <v>0</v>
      </c>
    </row>
    <row r="114" spans="1:24" x14ac:dyDescent="0.3">
      <c r="A114" s="7">
        <v>2001810281</v>
      </c>
      <c r="B114" s="7">
        <v>1091117805390</v>
      </c>
      <c r="C114" s="6">
        <f>VLOOKUP(A114,'Invoice_Courier Company'!B:E,4,FALSE)</f>
        <v>302018</v>
      </c>
      <c r="D114" s="6" t="str">
        <f>VLOOKUP(A114,'Invoice_Courier Company'!B:G,6,FALSE)</f>
        <v>Forward charges</v>
      </c>
      <c r="E114" s="6" t="str">
        <f t="shared" si="8"/>
        <v>Yes</v>
      </c>
      <c r="F114" s="6" t="str">
        <f t="shared" si="9"/>
        <v>No</v>
      </c>
      <c r="G114" s="18">
        <f>SUMIFS('Order Report_Company X'!E:E,'Order Report_Company X'!A:A,A114)/1000</f>
        <v>0.5</v>
      </c>
      <c r="H114" s="18">
        <f>SUMIFS('Order Report_Company X'!E:E,'Order Report_Company X'!A:A,'Order Level Calculation_Company'!A114)</f>
        <v>500</v>
      </c>
      <c r="I114" s="18" cm="1">
        <f t="array" ref="I114">_xlfn.IFS($G114&lt;=0.5,0.5,$G114&lt;=1,1,$G114&lt;=1.5,1.5,$G114&lt;=2,2,$G114&lt;=2.5,2.5,$G114&lt;=3,3,$G114&lt;=3.5,3.5,$G114&lt;=4,4)</f>
        <v>0.5</v>
      </c>
      <c r="J114" s="18" cm="1">
        <f t="array" ref="J114">_xlfn.IFS($H114&lt;=500,0.5,$H114&lt;=1000,1,$H114&lt;=1500,1.5,$H114&lt;=2000,2,$H114&lt;=2500,2.5,$H114&lt;=3000,3,$H114&lt;=3500,3.5,$H114&lt;=4000,4)*1000</f>
        <v>500</v>
      </c>
      <c r="K114" s="6" t="str">
        <f>UPPER(VLOOKUP(C114,'Zones Pincode_Company X'!B:C,2,FALSE))</f>
        <v>B</v>
      </c>
      <c r="L114" s="18">
        <f>VLOOKUP(K114,'Rates_Courier Company'!$B$7:$C$12,2,0)</f>
        <v>33</v>
      </c>
      <c r="M114" s="18">
        <f>VLOOKUP(K114,'Rates_Courier Company'!$B$15:$C$20,2,FALSE)*(I114/0.5-1)</f>
        <v>0</v>
      </c>
      <c r="N114" s="6">
        <f>IF(F114="Yes",VLOOKUP(K114,'Rates_Courier Company'!$F$7:$G$12,2,0),0)</f>
        <v>0</v>
      </c>
      <c r="O114" s="6">
        <f>IF(F114="Yes",VLOOKUP(K114,'Rates_Courier Company'!$F$15:$G$20,2,0),0)*(I114/0.5 -1)</f>
        <v>0</v>
      </c>
      <c r="P114" s="18">
        <f t="shared" si="10"/>
        <v>33</v>
      </c>
      <c r="Q114" s="18">
        <f>VLOOKUP(A114,'Invoice_Courier Company'!B:C,2,0)</f>
        <v>0.68</v>
      </c>
      <c r="R114" s="18">
        <f t="shared" si="11"/>
        <v>1</v>
      </c>
      <c r="S114" s="6" t="str">
        <f>UPPER(VLOOKUP(A114,'Invoice_Courier Company'!B:G,5,FALSE))</f>
        <v>D</v>
      </c>
      <c r="T114" s="18">
        <f>VLOOKUP(A114,'Invoice_Courier Company'!B:H,7,0)</f>
        <v>90.2</v>
      </c>
      <c r="U114" s="18">
        <f t="shared" si="12"/>
        <v>-57.2</v>
      </c>
      <c r="V114" s="32">
        <f t="shared" si="13"/>
        <v>-1.7333333333333334</v>
      </c>
      <c r="W114" s="18">
        <f t="shared" si="14"/>
        <v>33</v>
      </c>
      <c r="X114" s="6">
        <f t="shared" si="15"/>
        <v>0</v>
      </c>
    </row>
    <row r="115" spans="1:24" x14ac:dyDescent="0.3">
      <c r="A115" s="7">
        <v>2001810549</v>
      </c>
      <c r="B115" s="7">
        <v>1091117806263</v>
      </c>
      <c r="C115" s="6">
        <f>VLOOKUP(A115,'Invoice_Courier Company'!B:E,4,FALSE)</f>
        <v>302017</v>
      </c>
      <c r="D115" s="6" t="str">
        <f>VLOOKUP(A115,'Invoice_Courier Company'!B:G,6,FALSE)</f>
        <v>Forward charges</v>
      </c>
      <c r="E115" s="6" t="str">
        <f t="shared" si="8"/>
        <v>Yes</v>
      </c>
      <c r="F115" s="6" t="str">
        <f t="shared" si="9"/>
        <v>No</v>
      </c>
      <c r="G115" s="18">
        <f>SUMIFS('Order Report_Company X'!E:E,'Order Report_Company X'!A:A,A115)/1000</f>
        <v>0.98599999999999999</v>
      </c>
      <c r="H115" s="18">
        <f>SUMIFS('Order Report_Company X'!E:E,'Order Report_Company X'!A:A,'Order Level Calculation_Company'!A115)</f>
        <v>986</v>
      </c>
      <c r="I115" s="18" cm="1">
        <f t="array" ref="I115">_xlfn.IFS($G115&lt;=0.5,0.5,$G115&lt;=1,1,$G115&lt;=1.5,1.5,$G115&lt;=2,2,$G115&lt;=2.5,2.5,$G115&lt;=3,3,$G115&lt;=3.5,3.5,$G115&lt;=4,4)</f>
        <v>1</v>
      </c>
      <c r="J115" s="18" cm="1">
        <f t="array" ref="J115">_xlfn.IFS($H115&lt;=500,0.5,$H115&lt;=1000,1,$H115&lt;=1500,1.5,$H115&lt;=2000,2,$H115&lt;=2500,2.5,$H115&lt;=3000,3,$H115&lt;=3500,3.5,$H115&lt;=4000,4)*1000</f>
        <v>1000</v>
      </c>
      <c r="K115" s="6" t="str">
        <f>UPPER(VLOOKUP(C115,'Zones Pincode_Company X'!B:C,2,FALSE))</f>
        <v>B</v>
      </c>
      <c r="L115" s="18">
        <f>VLOOKUP(K115,'Rates_Courier Company'!$B$7:$C$12,2,0)</f>
        <v>33</v>
      </c>
      <c r="M115" s="18">
        <f>VLOOKUP(K115,'Rates_Courier Company'!$B$15:$C$20,2,FALSE)*(I115/0.5-1)</f>
        <v>28.3</v>
      </c>
      <c r="N115" s="6">
        <f>IF(F115="Yes",VLOOKUP(K115,'Rates_Courier Company'!$F$7:$G$12,2,0),0)</f>
        <v>0</v>
      </c>
      <c r="O115" s="6">
        <f>IF(F115="Yes",VLOOKUP(K115,'Rates_Courier Company'!$F$15:$G$20,2,0),0)*(I115/0.5 -1)</f>
        <v>0</v>
      </c>
      <c r="P115" s="18">
        <f t="shared" si="10"/>
        <v>61.3</v>
      </c>
      <c r="Q115" s="18">
        <f>VLOOKUP(A115,'Invoice_Courier Company'!B:C,2,0)</f>
        <v>1.86</v>
      </c>
      <c r="R115" s="18">
        <f t="shared" si="11"/>
        <v>2</v>
      </c>
      <c r="S115" s="6" t="str">
        <f>UPPER(VLOOKUP(A115,'Invoice_Courier Company'!B:G,5,FALSE))</f>
        <v>D</v>
      </c>
      <c r="T115" s="18">
        <f>VLOOKUP(A115,'Invoice_Courier Company'!B:H,7,0)</f>
        <v>179.8</v>
      </c>
      <c r="U115" s="18">
        <f t="shared" si="12"/>
        <v>-118.50000000000001</v>
      </c>
      <c r="V115" s="32">
        <f t="shared" si="13"/>
        <v>-1.9331158238172923</v>
      </c>
      <c r="W115" s="18">
        <f t="shared" si="14"/>
        <v>61.3</v>
      </c>
      <c r="X115" s="6">
        <f t="shared" si="15"/>
        <v>0</v>
      </c>
    </row>
    <row r="116" spans="1:24" x14ac:dyDescent="0.3">
      <c r="A116" s="7">
        <v>2001810697</v>
      </c>
      <c r="B116" s="7">
        <v>1091117807140</v>
      </c>
      <c r="C116" s="6">
        <f>VLOOKUP(A116,'Invoice_Courier Company'!B:E,4,FALSE)</f>
        <v>324008</v>
      </c>
      <c r="D116" s="6" t="str">
        <f>VLOOKUP(A116,'Invoice_Courier Company'!B:G,6,FALSE)</f>
        <v>Forward charges</v>
      </c>
      <c r="E116" s="6" t="str">
        <f t="shared" si="8"/>
        <v>Yes</v>
      </c>
      <c r="F116" s="6" t="str">
        <f t="shared" si="9"/>
        <v>No</v>
      </c>
      <c r="G116" s="18">
        <f>SUMIFS('Order Report_Company X'!E:E,'Order Report_Company X'!A:A,A116)/1000</f>
        <v>0.60699999999999998</v>
      </c>
      <c r="H116" s="18">
        <f>SUMIFS('Order Report_Company X'!E:E,'Order Report_Company X'!A:A,'Order Level Calculation_Company'!A116)</f>
        <v>607</v>
      </c>
      <c r="I116" s="18" cm="1">
        <f t="array" ref="I116">_xlfn.IFS($G116&lt;=0.5,0.5,$G116&lt;=1,1,$G116&lt;=1.5,1.5,$G116&lt;=2,2,$G116&lt;=2.5,2.5,$G116&lt;=3,3,$G116&lt;=3.5,3.5,$G116&lt;=4,4)</f>
        <v>1</v>
      </c>
      <c r="J116" s="18" cm="1">
        <f t="array" ref="J116">_xlfn.IFS($H116&lt;=500,0.5,$H116&lt;=1000,1,$H116&lt;=1500,1.5,$H116&lt;=2000,2,$H116&lt;=2500,2.5,$H116&lt;=3000,3,$H116&lt;=3500,3.5,$H116&lt;=4000,4)*1000</f>
        <v>1000</v>
      </c>
      <c r="K116" s="6" t="str">
        <f>UPPER(VLOOKUP(C116,'Zones Pincode_Company X'!B:C,2,FALSE))</f>
        <v>B</v>
      </c>
      <c r="L116" s="18">
        <f>VLOOKUP(K116,'Rates_Courier Company'!$B$7:$C$12,2,0)</f>
        <v>33</v>
      </c>
      <c r="M116" s="18">
        <f>VLOOKUP(K116,'Rates_Courier Company'!$B$15:$C$20,2,FALSE)*(I116/0.5-1)</f>
        <v>28.3</v>
      </c>
      <c r="N116" s="6">
        <f>IF(F116="Yes",VLOOKUP(K116,'Rates_Courier Company'!$F$7:$G$12,2,0),0)</f>
        <v>0</v>
      </c>
      <c r="O116" s="6">
        <f>IF(F116="Yes",VLOOKUP(K116,'Rates_Courier Company'!$F$15:$G$20,2,0),0)*(I116/0.5 -1)</f>
        <v>0</v>
      </c>
      <c r="P116" s="18">
        <f t="shared" si="10"/>
        <v>61.3</v>
      </c>
      <c r="Q116" s="18">
        <f>VLOOKUP(A116,'Invoice_Courier Company'!B:C,2,0)</f>
        <v>2.27</v>
      </c>
      <c r="R116" s="18">
        <f t="shared" si="11"/>
        <v>2.5</v>
      </c>
      <c r="S116" s="6" t="str">
        <f>UPPER(VLOOKUP(A116,'Invoice_Courier Company'!B:G,5,FALSE))</f>
        <v>D</v>
      </c>
      <c r="T116" s="18">
        <f>VLOOKUP(A116,'Invoice_Courier Company'!B:H,7,0)</f>
        <v>224.6</v>
      </c>
      <c r="U116" s="18">
        <f t="shared" si="12"/>
        <v>-163.30000000000001</v>
      </c>
      <c r="V116" s="32">
        <f t="shared" si="13"/>
        <v>-2.6639477977161503</v>
      </c>
      <c r="W116" s="18">
        <f t="shared" si="14"/>
        <v>61.3</v>
      </c>
      <c r="X116" s="6">
        <f t="shared" si="15"/>
        <v>0</v>
      </c>
    </row>
    <row r="117" spans="1:24" x14ac:dyDescent="0.3">
      <c r="A117" s="7">
        <v>2001811039</v>
      </c>
      <c r="B117" s="7">
        <v>1091117904860</v>
      </c>
      <c r="C117" s="6">
        <f>VLOOKUP(A117,'Invoice_Courier Company'!B:E,4,FALSE)</f>
        <v>302020</v>
      </c>
      <c r="D117" s="6" t="str">
        <f>VLOOKUP(A117,'Invoice_Courier Company'!B:G,6,FALSE)</f>
        <v>Forward charges</v>
      </c>
      <c r="E117" s="6" t="str">
        <f t="shared" si="8"/>
        <v>Yes</v>
      </c>
      <c r="F117" s="6" t="str">
        <f t="shared" si="9"/>
        <v>No</v>
      </c>
      <c r="G117" s="18">
        <f>SUMIFS('Order Report_Company X'!E:E,'Order Report_Company X'!A:A,A117)/1000</f>
        <v>0.48799999999999999</v>
      </c>
      <c r="H117" s="18">
        <f>SUMIFS('Order Report_Company X'!E:E,'Order Report_Company X'!A:A,'Order Level Calculation_Company'!A117)</f>
        <v>488</v>
      </c>
      <c r="I117" s="18" cm="1">
        <f t="array" ref="I117">_xlfn.IFS($G117&lt;=0.5,0.5,$G117&lt;=1,1,$G117&lt;=1.5,1.5,$G117&lt;=2,2,$G117&lt;=2.5,2.5,$G117&lt;=3,3,$G117&lt;=3.5,3.5,$G117&lt;=4,4)</f>
        <v>0.5</v>
      </c>
      <c r="J117" s="18" cm="1">
        <f t="array" ref="J117">_xlfn.IFS($H117&lt;=500,0.5,$H117&lt;=1000,1,$H117&lt;=1500,1.5,$H117&lt;=2000,2,$H117&lt;=2500,2.5,$H117&lt;=3000,3,$H117&lt;=3500,3.5,$H117&lt;=4000,4)*1000</f>
        <v>500</v>
      </c>
      <c r="K117" s="6" t="str">
        <f>UPPER(VLOOKUP(C117,'Zones Pincode_Company X'!B:C,2,FALSE))</f>
        <v>B</v>
      </c>
      <c r="L117" s="18">
        <f>VLOOKUP(K117,'Rates_Courier Company'!$B$7:$C$12,2,0)</f>
        <v>33</v>
      </c>
      <c r="M117" s="18">
        <f>VLOOKUP(K117,'Rates_Courier Company'!$B$15:$C$20,2,FALSE)*(I117/0.5-1)</f>
        <v>0</v>
      </c>
      <c r="N117" s="6">
        <f>IF(F117="Yes",VLOOKUP(K117,'Rates_Courier Company'!$F$7:$G$12,2,0),0)</f>
        <v>0</v>
      </c>
      <c r="O117" s="6">
        <f>IF(F117="Yes",VLOOKUP(K117,'Rates_Courier Company'!$F$15:$G$20,2,0),0)*(I117/0.5 -1)</f>
        <v>0</v>
      </c>
      <c r="P117" s="18">
        <f t="shared" si="10"/>
        <v>33</v>
      </c>
      <c r="Q117" s="18">
        <f>VLOOKUP(A117,'Invoice_Courier Company'!B:C,2,0)</f>
        <v>0.68</v>
      </c>
      <c r="R117" s="18">
        <f t="shared" si="11"/>
        <v>1</v>
      </c>
      <c r="S117" s="6" t="str">
        <f>UPPER(VLOOKUP(A117,'Invoice_Courier Company'!B:G,5,FALSE))</f>
        <v>D</v>
      </c>
      <c r="T117" s="18">
        <f>VLOOKUP(A117,'Invoice_Courier Company'!B:H,7,0)</f>
        <v>90.2</v>
      </c>
      <c r="U117" s="18">
        <f t="shared" si="12"/>
        <v>-57.2</v>
      </c>
      <c r="V117" s="32">
        <f t="shared" si="13"/>
        <v>-1.7333333333333334</v>
      </c>
      <c r="W117" s="18">
        <f t="shared" si="14"/>
        <v>33</v>
      </c>
      <c r="X117" s="6">
        <f t="shared" si="15"/>
        <v>0</v>
      </c>
    </row>
    <row r="118" spans="1:24" x14ac:dyDescent="0.3">
      <c r="A118" s="7">
        <v>2001811058</v>
      </c>
      <c r="B118" s="7">
        <v>1091117905022</v>
      </c>
      <c r="C118" s="6">
        <f>VLOOKUP(A118,'Invoice_Courier Company'!B:E,4,FALSE)</f>
        <v>302018</v>
      </c>
      <c r="D118" s="6" t="str">
        <f>VLOOKUP(A118,'Invoice_Courier Company'!B:G,6,FALSE)</f>
        <v>Forward charges</v>
      </c>
      <c r="E118" s="6" t="str">
        <f t="shared" si="8"/>
        <v>Yes</v>
      </c>
      <c r="F118" s="6" t="str">
        <f t="shared" si="9"/>
        <v>No</v>
      </c>
      <c r="G118" s="18">
        <f>SUMIFS('Order Report_Company X'!E:E,'Order Report_Company X'!A:A,A118)/1000</f>
        <v>0.5</v>
      </c>
      <c r="H118" s="18">
        <f>SUMIFS('Order Report_Company X'!E:E,'Order Report_Company X'!A:A,'Order Level Calculation_Company'!A118)</f>
        <v>500</v>
      </c>
      <c r="I118" s="18" cm="1">
        <f t="array" ref="I118">_xlfn.IFS($G118&lt;=0.5,0.5,$G118&lt;=1,1,$G118&lt;=1.5,1.5,$G118&lt;=2,2,$G118&lt;=2.5,2.5,$G118&lt;=3,3,$G118&lt;=3.5,3.5,$G118&lt;=4,4)</f>
        <v>0.5</v>
      </c>
      <c r="J118" s="18" cm="1">
        <f t="array" ref="J118">_xlfn.IFS($H118&lt;=500,0.5,$H118&lt;=1000,1,$H118&lt;=1500,1.5,$H118&lt;=2000,2,$H118&lt;=2500,2.5,$H118&lt;=3000,3,$H118&lt;=3500,3.5,$H118&lt;=4000,4)*1000</f>
        <v>500</v>
      </c>
      <c r="K118" s="6" t="str">
        <f>UPPER(VLOOKUP(C118,'Zones Pincode_Company X'!B:C,2,FALSE))</f>
        <v>B</v>
      </c>
      <c r="L118" s="18">
        <f>VLOOKUP(K118,'Rates_Courier Company'!$B$7:$C$12,2,0)</f>
        <v>33</v>
      </c>
      <c r="M118" s="18">
        <f>VLOOKUP(K118,'Rates_Courier Company'!$B$15:$C$20,2,FALSE)*(I118/0.5-1)</f>
        <v>0</v>
      </c>
      <c r="N118" s="6">
        <f>IF(F118="Yes",VLOOKUP(K118,'Rates_Courier Company'!$F$7:$G$12,2,0),0)</f>
        <v>0</v>
      </c>
      <c r="O118" s="6">
        <f>IF(F118="Yes",VLOOKUP(K118,'Rates_Courier Company'!$F$15:$G$20,2,0),0)*(I118/0.5 -1)</f>
        <v>0</v>
      </c>
      <c r="P118" s="18">
        <f t="shared" si="10"/>
        <v>33</v>
      </c>
      <c r="Q118" s="18">
        <f>VLOOKUP(A118,'Invoice_Courier Company'!B:C,2,0)</f>
        <v>0.72</v>
      </c>
      <c r="R118" s="18">
        <f t="shared" si="11"/>
        <v>1</v>
      </c>
      <c r="S118" s="6" t="str">
        <f>UPPER(VLOOKUP(A118,'Invoice_Courier Company'!B:G,5,FALSE))</f>
        <v>D</v>
      </c>
      <c r="T118" s="18">
        <f>VLOOKUP(A118,'Invoice_Courier Company'!B:H,7,0)</f>
        <v>90.2</v>
      </c>
      <c r="U118" s="18">
        <f t="shared" si="12"/>
        <v>-57.2</v>
      </c>
      <c r="V118" s="32">
        <f t="shared" si="13"/>
        <v>-1.7333333333333334</v>
      </c>
      <c r="W118" s="18">
        <f t="shared" si="14"/>
        <v>33</v>
      </c>
      <c r="X118" s="6">
        <f t="shared" si="15"/>
        <v>0</v>
      </c>
    </row>
    <row r="119" spans="1:24" x14ac:dyDescent="0.3">
      <c r="A119" s="7">
        <v>2001811306</v>
      </c>
      <c r="B119" s="7">
        <v>1091117958163</v>
      </c>
      <c r="C119" s="6">
        <f>VLOOKUP(A119,'Invoice_Courier Company'!B:E,4,FALSE)</f>
        <v>302017</v>
      </c>
      <c r="D119" s="6" t="str">
        <f>VLOOKUP(A119,'Invoice_Courier Company'!B:G,6,FALSE)</f>
        <v>Forward charges</v>
      </c>
      <c r="E119" s="6" t="str">
        <f t="shared" si="8"/>
        <v>Yes</v>
      </c>
      <c r="F119" s="6" t="str">
        <f t="shared" si="9"/>
        <v>No</v>
      </c>
      <c r="G119" s="18">
        <f>SUMIFS('Order Report_Company X'!E:E,'Order Report_Company X'!A:A,A119)/1000</f>
        <v>0.94499999999999995</v>
      </c>
      <c r="H119" s="18">
        <f>SUMIFS('Order Report_Company X'!E:E,'Order Report_Company X'!A:A,'Order Level Calculation_Company'!A119)</f>
        <v>945</v>
      </c>
      <c r="I119" s="18" cm="1">
        <f t="array" ref="I119">_xlfn.IFS($G119&lt;=0.5,0.5,$G119&lt;=1,1,$G119&lt;=1.5,1.5,$G119&lt;=2,2,$G119&lt;=2.5,2.5,$G119&lt;=3,3,$G119&lt;=3.5,3.5,$G119&lt;=4,4)</f>
        <v>1</v>
      </c>
      <c r="J119" s="18" cm="1">
        <f t="array" ref="J119">_xlfn.IFS($H119&lt;=500,0.5,$H119&lt;=1000,1,$H119&lt;=1500,1.5,$H119&lt;=2000,2,$H119&lt;=2500,2.5,$H119&lt;=3000,3,$H119&lt;=3500,3.5,$H119&lt;=4000,4)*1000</f>
        <v>1000</v>
      </c>
      <c r="K119" s="6" t="str">
        <f>UPPER(VLOOKUP(C119,'Zones Pincode_Company X'!B:C,2,FALSE))</f>
        <v>B</v>
      </c>
      <c r="L119" s="18">
        <f>VLOOKUP(K119,'Rates_Courier Company'!$B$7:$C$12,2,0)</f>
        <v>33</v>
      </c>
      <c r="M119" s="18">
        <f>VLOOKUP(K119,'Rates_Courier Company'!$B$15:$C$20,2,FALSE)*(I119/0.5-1)</f>
        <v>28.3</v>
      </c>
      <c r="N119" s="6">
        <f>IF(F119="Yes",VLOOKUP(K119,'Rates_Courier Company'!$F$7:$G$12,2,0),0)</f>
        <v>0</v>
      </c>
      <c r="O119" s="6">
        <f>IF(F119="Yes",VLOOKUP(K119,'Rates_Courier Company'!$F$15:$G$20,2,0),0)*(I119/0.5 -1)</f>
        <v>0</v>
      </c>
      <c r="P119" s="18">
        <f t="shared" si="10"/>
        <v>61.3</v>
      </c>
      <c r="Q119" s="18">
        <f>VLOOKUP(A119,'Invoice_Courier Company'!B:C,2,0)</f>
        <v>1.1000000000000001</v>
      </c>
      <c r="R119" s="18">
        <f t="shared" si="11"/>
        <v>1.5</v>
      </c>
      <c r="S119" s="6" t="str">
        <f>UPPER(VLOOKUP(A119,'Invoice_Courier Company'!B:G,5,FALSE))</f>
        <v>D</v>
      </c>
      <c r="T119" s="18">
        <f>VLOOKUP(A119,'Invoice_Courier Company'!B:H,7,0)</f>
        <v>135</v>
      </c>
      <c r="U119" s="18">
        <f t="shared" si="12"/>
        <v>-73.7</v>
      </c>
      <c r="V119" s="32">
        <f t="shared" si="13"/>
        <v>-1.2022838499184341</v>
      </c>
      <c r="W119" s="18">
        <f t="shared" si="14"/>
        <v>61.3</v>
      </c>
      <c r="X119" s="6">
        <f t="shared" si="15"/>
        <v>0</v>
      </c>
    </row>
    <row r="120" spans="1:24" x14ac:dyDescent="0.3">
      <c r="A120" s="7">
        <v>2001812195</v>
      </c>
      <c r="B120" s="7">
        <v>1091118442390</v>
      </c>
      <c r="C120" s="6">
        <f>VLOOKUP(A120,'Invoice_Courier Company'!B:E,4,FALSE)</f>
        <v>302012</v>
      </c>
      <c r="D120" s="6" t="str">
        <f>VLOOKUP(A120,'Invoice_Courier Company'!B:G,6,FALSE)</f>
        <v>Forward charges</v>
      </c>
      <c r="E120" s="6" t="str">
        <f t="shared" si="8"/>
        <v>Yes</v>
      </c>
      <c r="F120" s="6" t="str">
        <f t="shared" si="9"/>
        <v>No</v>
      </c>
      <c r="G120" s="18">
        <f>SUMIFS('Order Report_Company X'!E:E,'Order Report_Company X'!A:A,A120)/1000</f>
        <v>0.5</v>
      </c>
      <c r="H120" s="18">
        <f>SUMIFS('Order Report_Company X'!E:E,'Order Report_Company X'!A:A,'Order Level Calculation_Company'!A120)</f>
        <v>500</v>
      </c>
      <c r="I120" s="18" cm="1">
        <f t="array" ref="I120">_xlfn.IFS($G120&lt;=0.5,0.5,$G120&lt;=1,1,$G120&lt;=1.5,1.5,$G120&lt;=2,2,$G120&lt;=2.5,2.5,$G120&lt;=3,3,$G120&lt;=3.5,3.5,$G120&lt;=4,4)</f>
        <v>0.5</v>
      </c>
      <c r="J120" s="18" cm="1">
        <f t="array" ref="J120">_xlfn.IFS($H120&lt;=500,0.5,$H120&lt;=1000,1,$H120&lt;=1500,1.5,$H120&lt;=2000,2,$H120&lt;=2500,2.5,$H120&lt;=3000,3,$H120&lt;=3500,3.5,$H120&lt;=4000,4)*1000</f>
        <v>500</v>
      </c>
      <c r="K120" s="6" t="str">
        <f>UPPER(VLOOKUP(C120,'Zones Pincode_Company X'!B:C,2,FALSE))</f>
        <v>B</v>
      </c>
      <c r="L120" s="18">
        <f>VLOOKUP(K120,'Rates_Courier Company'!$B$7:$C$12,2,0)</f>
        <v>33</v>
      </c>
      <c r="M120" s="18">
        <f>VLOOKUP(K120,'Rates_Courier Company'!$B$15:$C$20,2,FALSE)*(I120/0.5-1)</f>
        <v>0</v>
      </c>
      <c r="N120" s="6">
        <f>IF(F120="Yes",VLOOKUP(K120,'Rates_Courier Company'!$F$7:$G$12,2,0),0)</f>
        <v>0</v>
      </c>
      <c r="O120" s="6">
        <f>IF(F120="Yes",VLOOKUP(K120,'Rates_Courier Company'!$F$15:$G$20,2,0),0)*(I120/0.5 -1)</f>
        <v>0</v>
      </c>
      <c r="P120" s="18">
        <f t="shared" si="10"/>
        <v>33</v>
      </c>
      <c r="Q120" s="18">
        <f>VLOOKUP(A120,'Invoice_Courier Company'!B:C,2,0)</f>
        <v>0.67</v>
      </c>
      <c r="R120" s="18">
        <f t="shared" si="11"/>
        <v>1</v>
      </c>
      <c r="S120" s="6" t="str">
        <f>UPPER(VLOOKUP(A120,'Invoice_Courier Company'!B:G,5,FALSE))</f>
        <v>D</v>
      </c>
      <c r="T120" s="18">
        <f>VLOOKUP(A120,'Invoice_Courier Company'!B:H,7,0)</f>
        <v>90.2</v>
      </c>
      <c r="U120" s="18">
        <f t="shared" si="12"/>
        <v>-57.2</v>
      </c>
      <c r="V120" s="32">
        <f t="shared" si="13"/>
        <v>-1.7333333333333334</v>
      </c>
      <c r="W120" s="18">
        <f t="shared" si="14"/>
        <v>33</v>
      </c>
      <c r="X120" s="6">
        <f t="shared" si="15"/>
        <v>0</v>
      </c>
    </row>
    <row r="121" spans="1:24" x14ac:dyDescent="0.3">
      <c r="A121" s="7">
        <v>2001812941</v>
      </c>
      <c r="B121" s="7">
        <v>1091118551656</v>
      </c>
      <c r="C121" s="6">
        <f>VLOOKUP(A121,'Invoice_Courier Company'!B:E,4,FALSE)</f>
        <v>325207</v>
      </c>
      <c r="D121" s="6" t="str">
        <f>VLOOKUP(A121,'Invoice_Courier Company'!B:G,6,FALSE)</f>
        <v>Forward charges</v>
      </c>
      <c r="E121" s="6" t="str">
        <f t="shared" si="8"/>
        <v>Yes</v>
      </c>
      <c r="F121" s="6" t="str">
        <f t="shared" si="9"/>
        <v>No</v>
      </c>
      <c r="G121" s="18">
        <f>SUMIFS('Order Report_Company X'!E:E,'Order Report_Company X'!A:A,A121)/1000</f>
        <v>0.5</v>
      </c>
      <c r="H121" s="18">
        <f>SUMIFS('Order Report_Company X'!E:E,'Order Report_Company X'!A:A,'Order Level Calculation_Company'!A121)</f>
        <v>500</v>
      </c>
      <c r="I121" s="18" cm="1">
        <f t="array" ref="I121">_xlfn.IFS($G121&lt;=0.5,0.5,$G121&lt;=1,1,$G121&lt;=1.5,1.5,$G121&lt;=2,2,$G121&lt;=2.5,2.5,$G121&lt;=3,3,$G121&lt;=3.5,3.5,$G121&lt;=4,4)</f>
        <v>0.5</v>
      </c>
      <c r="J121" s="18" cm="1">
        <f t="array" ref="J121">_xlfn.IFS($H121&lt;=500,0.5,$H121&lt;=1000,1,$H121&lt;=1500,1.5,$H121&lt;=2000,2,$H121&lt;=2500,2.5,$H121&lt;=3000,3,$H121&lt;=3500,3.5,$H121&lt;=4000,4)*1000</f>
        <v>500</v>
      </c>
      <c r="K121" s="6" t="str">
        <f>UPPER(VLOOKUP(C121,'Zones Pincode_Company X'!B:C,2,FALSE))</f>
        <v>B</v>
      </c>
      <c r="L121" s="18">
        <f>VLOOKUP(K121,'Rates_Courier Company'!$B$7:$C$12,2,0)</f>
        <v>33</v>
      </c>
      <c r="M121" s="18">
        <f>VLOOKUP(K121,'Rates_Courier Company'!$B$15:$C$20,2,FALSE)*(I121/0.5-1)</f>
        <v>0</v>
      </c>
      <c r="N121" s="6">
        <f>IF(F121="Yes",VLOOKUP(K121,'Rates_Courier Company'!$F$7:$G$12,2,0),0)</f>
        <v>0</v>
      </c>
      <c r="O121" s="6">
        <f>IF(F121="Yes",VLOOKUP(K121,'Rates_Courier Company'!$F$15:$G$20,2,0),0)*(I121/0.5 -1)</f>
        <v>0</v>
      </c>
      <c r="P121" s="18">
        <f t="shared" si="10"/>
        <v>33</v>
      </c>
      <c r="Q121" s="18">
        <f>VLOOKUP(A121,'Invoice_Courier Company'!B:C,2,0)</f>
        <v>0.73</v>
      </c>
      <c r="R121" s="18">
        <f t="shared" si="11"/>
        <v>1</v>
      </c>
      <c r="S121" s="6" t="str">
        <f>UPPER(VLOOKUP(A121,'Invoice_Courier Company'!B:G,5,FALSE))</f>
        <v>D</v>
      </c>
      <c r="T121" s="18">
        <f>VLOOKUP(A121,'Invoice_Courier Company'!B:H,7,0)</f>
        <v>90.2</v>
      </c>
      <c r="U121" s="18">
        <f t="shared" si="12"/>
        <v>-57.2</v>
      </c>
      <c r="V121" s="32">
        <f t="shared" si="13"/>
        <v>-1.7333333333333334</v>
      </c>
      <c r="W121" s="18">
        <f t="shared" si="14"/>
        <v>33</v>
      </c>
      <c r="X121" s="6">
        <f t="shared" si="15"/>
        <v>0</v>
      </c>
    </row>
    <row r="122" spans="1:24" x14ac:dyDescent="0.3">
      <c r="A122" s="7">
        <v>2001809383</v>
      </c>
      <c r="B122" s="7">
        <v>1091117614452</v>
      </c>
      <c r="C122" s="6">
        <f>VLOOKUP(A122,'Invoice_Courier Company'!B:E,4,FALSE)</f>
        <v>303702</v>
      </c>
      <c r="D122" s="6" t="str">
        <f>VLOOKUP(A122,'Invoice_Courier Company'!B:G,6,FALSE)</f>
        <v>Forward and RTO charges</v>
      </c>
      <c r="E122" s="6" t="str">
        <f t="shared" si="8"/>
        <v>No</v>
      </c>
      <c r="F122" s="6" t="str">
        <f t="shared" si="9"/>
        <v>Yes</v>
      </c>
      <c r="G122" s="18">
        <f>SUMIFS('Order Report_Company X'!E:E,'Order Report_Company X'!A:A,A122)/1000</f>
        <v>0.60699999999999998</v>
      </c>
      <c r="H122" s="18">
        <f>SUMIFS('Order Report_Company X'!E:E,'Order Report_Company X'!A:A,'Order Level Calculation_Company'!A122)</f>
        <v>607</v>
      </c>
      <c r="I122" s="18" cm="1">
        <f t="array" ref="I122">_xlfn.IFS($G122&lt;=0.5,0.5,$G122&lt;=1,1,$G122&lt;=1.5,1.5,$G122&lt;=2,2,$G122&lt;=2.5,2.5,$G122&lt;=3,3,$G122&lt;=3.5,3.5,$G122&lt;=4,4)</f>
        <v>1</v>
      </c>
      <c r="J122" s="18" cm="1">
        <f t="array" ref="J122">_xlfn.IFS($H122&lt;=500,0.5,$H122&lt;=1000,1,$H122&lt;=1500,1.5,$H122&lt;=2000,2,$H122&lt;=2500,2.5,$H122&lt;=3000,3,$H122&lt;=3500,3.5,$H122&lt;=4000,4)*1000</f>
        <v>1000</v>
      </c>
      <c r="K122" s="6" t="str">
        <f>UPPER(VLOOKUP(C122,'Zones Pincode_Company X'!B:C,2,FALSE))</f>
        <v>B</v>
      </c>
      <c r="L122" s="18">
        <f>VLOOKUP(K122,'Rates_Courier Company'!$B$7:$C$12,2,0)</f>
        <v>33</v>
      </c>
      <c r="M122" s="18">
        <f>VLOOKUP(K122,'Rates_Courier Company'!$B$15:$C$20,2,FALSE)*(I122/0.5-1)</f>
        <v>28.3</v>
      </c>
      <c r="N122" s="6">
        <f>IF(F122="Yes",VLOOKUP(K122,'Rates_Courier Company'!$F$7:$G$12,2,0),0)</f>
        <v>20.5</v>
      </c>
      <c r="O122" s="6">
        <f>IF(F122="Yes",VLOOKUP(K122,'Rates_Courier Company'!$F$15:$G$20,2,0),0)*(I122/0.5 -1)</f>
        <v>28.3</v>
      </c>
      <c r="P122" s="18">
        <f t="shared" si="10"/>
        <v>110.1</v>
      </c>
      <c r="Q122" s="18">
        <f>VLOOKUP(A122,'Invoice_Courier Company'!B:C,2,0)</f>
        <v>0.5</v>
      </c>
      <c r="R122" s="18">
        <f t="shared" si="11"/>
        <v>0.5</v>
      </c>
      <c r="S122" s="6" t="str">
        <f>UPPER(VLOOKUP(A122,'Invoice_Courier Company'!B:G,5,FALSE))</f>
        <v>D</v>
      </c>
      <c r="T122" s="18">
        <f>VLOOKUP(A122,'Invoice_Courier Company'!B:H,7,0)</f>
        <v>86.7</v>
      </c>
      <c r="U122" s="18">
        <f t="shared" si="12"/>
        <v>23.399999999999991</v>
      </c>
      <c r="V122" s="32">
        <f t="shared" si="13"/>
        <v>0.21253405994550403</v>
      </c>
      <c r="W122" s="18">
        <f t="shared" si="14"/>
        <v>61.3</v>
      </c>
      <c r="X122" s="6">
        <f t="shared" si="15"/>
        <v>48.8</v>
      </c>
    </row>
    <row r="123" spans="1:24" x14ac:dyDescent="0.3">
      <c r="A123" s="7">
        <v>2001820978</v>
      </c>
      <c r="B123" s="7">
        <v>1091120922803</v>
      </c>
      <c r="C123" s="6">
        <f>VLOOKUP(A123,'Invoice_Courier Company'!B:E,4,FALSE)</f>
        <v>313301</v>
      </c>
      <c r="D123" s="6" t="str">
        <f>VLOOKUP(A123,'Invoice_Courier Company'!B:G,6,FALSE)</f>
        <v>Forward charges</v>
      </c>
      <c r="E123" s="6" t="str">
        <f t="shared" si="8"/>
        <v>Yes</v>
      </c>
      <c r="F123" s="6" t="str">
        <f t="shared" si="9"/>
        <v>No</v>
      </c>
      <c r="G123" s="18">
        <f>SUMIFS('Order Report_Company X'!E:E,'Order Report_Company X'!A:A,A123)/1000</f>
        <v>0.51500000000000001</v>
      </c>
      <c r="H123" s="18">
        <f>SUMIFS('Order Report_Company X'!E:E,'Order Report_Company X'!A:A,'Order Level Calculation_Company'!A123)</f>
        <v>515</v>
      </c>
      <c r="I123" s="18" cm="1">
        <f t="array" ref="I123">_xlfn.IFS($G123&lt;=0.5,0.5,$G123&lt;=1,1,$G123&lt;=1.5,1.5,$G123&lt;=2,2,$G123&lt;=2.5,2.5,$G123&lt;=3,3,$G123&lt;=3.5,3.5,$G123&lt;=4,4)</f>
        <v>1</v>
      </c>
      <c r="J123" s="18" cm="1">
        <f t="array" ref="J123">_xlfn.IFS($H123&lt;=500,0.5,$H123&lt;=1000,1,$H123&lt;=1500,1.5,$H123&lt;=2000,2,$H123&lt;=2500,2.5,$H123&lt;=3000,3,$H123&lt;=3500,3.5,$H123&lt;=4000,4)*1000</f>
        <v>1000</v>
      </c>
      <c r="K123" s="6" t="str">
        <f>UPPER(VLOOKUP(C123,'Zones Pincode_Company X'!B:C,2,FALSE))</f>
        <v>B</v>
      </c>
      <c r="L123" s="18">
        <f>VLOOKUP(K123,'Rates_Courier Company'!$B$7:$C$12,2,0)</f>
        <v>33</v>
      </c>
      <c r="M123" s="18">
        <f>VLOOKUP(K123,'Rates_Courier Company'!$B$15:$C$20,2,FALSE)*(I123/0.5-1)</f>
        <v>28.3</v>
      </c>
      <c r="N123" s="6">
        <f>IF(F123="Yes",VLOOKUP(K123,'Rates_Courier Company'!$F$7:$G$12,2,0),0)</f>
        <v>0</v>
      </c>
      <c r="O123" s="6">
        <f>IF(F123="Yes",VLOOKUP(K123,'Rates_Courier Company'!$F$15:$G$20,2,0),0)*(I123/0.5 -1)</f>
        <v>0</v>
      </c>
      <c r="P123" s="18">
        <f t="shared" si="10"/>
        <v>61.3</v>
      </c>
      <c r="Q123" s="18">
        <f>VLOOKUP(A123,'Invoice_Courier Company'!B:C,2,0)</f>
        <v>0.5</v>
      </c>
      <c r="R123" s="18">
        <f t="shared" si="11"/>
        <v>0.5</v>
      </c>
      <c r="S123" s="6" t="str">
        <f>UPPER(VLOOKUP(A123,'Invoice_Courier Company'!B:G,5,FALSE))</f>
        <v>D</v>
      </c>
      <c r="T123" s="18">
        <f>VLOOKUP(A123,'Invoice_Courier Company'!B:H,7,0)</f>
        <v>45.4</v>
      </c>
      <c r="U123" s="18">
        <f t="shared" si="12"/>
        <v>15.899999999999999</v>
      </c>
      <c r="V123" s="32">
        <f t="shared" si="13"/>
        <v>0.25938009787928223</v>
      </c>
      <c r="W123" s="18">
        <f t="shared" si="14"/>
        <v>61.3</v>
      </c>
      <c r="X123" s="6">
        <f t="shared" si="15"/>
        <v>0</v>
      </c>
    </row>
    <row r="124" spans="1:24" x14ac:dyDescent="0.3">
      <c r="A124" s="7">
        <v>2001811475</v>
      </c>
      <c r="B124" s="7">
        <v>1091121844806</v>
      </c>
      <c r="C124" s="6">
        <f>VLOOKUP(A124,'Invoice_Courier Company'!B:E,4,FALSE)</f>
        <v>173212</v>
      </c>
      <c r="D124" s="6" t="str">
        <f>VLOOKUP(A124,'Invoice_Courier Company'!B:G,6,FALSE)</f>
        <v>Forward charges</v>
      </c>
      <c r="E124" s="6" t="str">
        <f t="shared" si="8"/>
        <v>Yes</v>
      </c>
      <c r="F124" s="6" t="str">
        <f t="shared" si="9"/>
        <v>No</v>
      </c>
      <c r="G124" s="18">
        <f>SUMIFS('Order Report_Company X'!E:E,'Order Report_Company X'!A:A,A124)/1000</f>
        <v>0.68899999999999995</v>
      </c>
      <c r="H124" s="18">
        <f>SUMIFS('Order Report_Company X'!E:E,'Order Report_Company X'!A:A,'Order Level Calculation_Company'!A124)</f>
        <v>689</v>
      </c>
      <c r="I124" s="18" cm="1">
        <f t="array" ref="I124">_xlfn.IFS($G124&lt;=0.5,0.5,$G124&lt;=1,1,$G124&lt;=1.5,1.5,$G124&lt;=2,2,$G124&lt;=2.5,2.5,$G124&lt;=3,3,$G124&lt;=3.5,3.5,$G124&lt;=4,4)</f>
        <v>1</v>
      </c>
      <c r="J124" s="18" cm="1">
        <f t="array" ref="J124">_xlfn.IFS($H124&lt;=500,0.5,$H124&lt;=1000,1,$H124&lt;=1500,1.5,$H124&lt;=2000,2,$H124&lt;=2500,2.5,$H124&lt;=3000,3,$H124&lt;=3500,3.5,$H124&lt;=4000,4)*1000</f>
        <v>1000</v>
      </c>
      <c r="K124" s="6" t="str">
        <f>UPPER(VLOOKUP(C124,'Zones Pincode_Company X'!B:C,2,FALSE))</f>
        <v>E</v>
      </c>
      <c r="L124" s="18">
        <f>VLOOKUP(K124,'Rates_Courier Company'!$B$7:$C$12,2,0)</f>
        <v>56.6</v>
      </c>
      <c r="M124" s="18">
        <f>VLOOKUP(K124,'Rates_Courier Company'!$B$15:$C$20,2,FALSE)*(I124/0.5-1)</f>
        <v>55.5</v>
      </c>
      <c r="N124" s="6">
        <f>IF(F124="Yes",VLOOKUP(K124,'Rates_Courier Company'!$F$7:$G$12,2,0),0)</f>
        <v>0</v>
      </c>
      <c r="O124" s="6">
        <f>IF(F124="Yes",VLOOKUP(K124,'Rates_Courier Company'!$F$15:$G$20,2,0),0)*(I124/0.5 -1)</f>
        <v>0</v>
      </c>
      <c r="P124" s="18">
        <f t="shared" si="10"/>
        <v>112.1</v>
      </c>
      <c r="Q124" s="18">
        <f>VLOOKUP(A124,'Invoice_Courier Company'!B:C,2,0)</f>
        <v>0.5</v>
      </c>
      <c r="R124" s="18">
        <f t="shared" si="11"/>
        <v>0.5</v>
      </c>
      <c r="S124" s="6" t="str">
        <f>UPPER(VLOOKUP(A124,'Invoice_Courier Company'!B:G,5,FALSE))</f>
        <v>B</v>
      </c>
      <c r="T124" s="18">
        <f>VLOOKUP(A124,'Invoice_Courier Company'!B:H,7,0)</f>
        <v>33</v>
      </c>
      <c r="U124" s="18">
        <f t="shared" si="12"/>
        <v>79.099999999999994</v>
      </c>
      <c r="V124" s="32">
        <f t="shared" si="13"/>
        <v>0.70561998215878674</v>
      </c>
      <c r="W124" s="18">
        <f t="shared" si="14"/>
        <v>112.1</v>
      </c>
      <c r="X124" s="6">
        <f t="shared" si="15"/>
        <v>0</v>
      </c>
    </row>
    <row r="125" spans="1:24" x14ac:dyDescent="0.3">
      <c r="A125" s="7">
        <v>2001811305</v>
      </c>
      <c r="B125" s="7">
        <v>1091121846136</v>
      </c>
      <c r="C125" s="6">
        <f>VLOOKUP(A125,'Invoice_Courier Company'!B:E,4,FALSE)</f>
        <v>302020</v>
      </c>
      <c r="D125" s="6" t="str">
        <f>VLOOKUP(A125,'Invoice_Courier Company'!B:G,6,FALSE)</f>
        <v>Forward charges</v>
      </c>
      <c r="E125" s="6" t="str">
        <f t="shared" si="8"/>
        <v>Yes</v>
      </c>
      <c r="F125" s="6" t="str">
        <f t="shared" si="9"/>
        <v>No</v>
      </c>
      <c r="G125" s="18">
        <f>SUMIFS('Order Report_Company X'!E:E,'Order Report_Company X'!A:A,A125)/1000</f>
        <v>0.75</v>
      </c>
      <c r="H125" s="18">
        <f>SUMIFS('Order Report_Company X'!E:E,'Order Report_Company X'!A:A,'Order Level Calculation_Company'!A125)</f>
        <v>750</v>
      </c>
      <c r="I125" s="18" cm="1">
        <f t="array" ref="I125">_xlfn.IFS($G125&lt;=0.5,0.5,$G125&lt;=1,1,$G125&lt;=1.5,1.5,$G125&lt;=2,2,$G125&lt;=2.5,2.5,$G125&lt;=3,3,$G125&lt;=3.5,3.5,$G125&lt;=4,4)</f>
        <v>1</v>
      </c>
      <c r="J125" s="18" cm="1">
        <f t="array" ref="J125">_xlfn.IFS($H125&lt;=500,0.5,$H125&lt;=1000,1,$H125&lt;=1500,1.5,$H125&lt;=2000,2,$H125&lt;=2500,2.5,$H125&lt;=3000,3,$H125&lt;=3500,3.5,$H125&lt;=4000,4)*1000</f>
        <v>1000</v>
      </c>
      <c r="K125" s="6" t="str">
        <f>UPPER(VLOOKUP(C125,'Zones Pincode_Company X'!B:C,2,FALSE))</f>
        <v>B</v>
      </c>
      <c r="L125" s="18">
        <f>VLOOKUP(K125,'Rates_Courier Company'!$B$7:$C$12,2,0)</f>
        <v>33</v>
      </c>
      <c r="M125" s="18">
        <f>VLOOKUP(K125,'Rates_Courier Company'!$B$15:$C$20,2,FALSE)*(I125/0.5-1)</f>
        <v>28.3</v>
      </c>
      <c r="N125" s="6">
        <f>IF(F125="Yes",VLOOKUP(K125,'Rates_Courier Company'!$F$7:$G$12,2,0),0)</f>
        <v>0</v>
      </c>
      <c r="O125" s="6">
        <f>IF(F125="Yes",VLOOKUP(K125,'Rates_Courier Company'!$F$15:$G$20,2,0),0)*(I125/0.5 -1)</f>
        <v>0</v>
      </c>
      <c r="P125" s="18">
        <f t="shared" si="10"/>
        <v>61.3</v>
      </c>
      <c r="Q125" s="18">
        <f>VLOOKUP(A125,'Invoice_Courier Company'!B:C,2,0)</f>
        <v>0.5</v>
      </c>
      <c r="R125" s="18">
        <f t="shared" si="11"/>
        <v>0.5</v>
      </c>
      <c r="S125" s="6" t="str">
        <f>UPPER(VLOOKUP(A125,'Invoice_Courier Company'!B:G,5,FALSE))</f>
        <v>D</v>
      </c>
      <c r="T125" s="18">
        <f>VLOOKUP(A125,'Invoice_Courier Company'!B:H,7,0)</f>
        <v>45.4</v>
      </c>
      <c r="U125" s="18">
        <f t="shared" si="12"/>
        <v>15.899999999999999</v>
      </c>
      <c r="V125" s="32">
        <f t="shared" si="13"/>
        <v>0.25938009787928223</v>
      </c>
      <c r="W125" s="18">
        <f t="shared" si="14"/>
        <v>61.3</v>
      </c>
      <c r="X125" s="6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Invoice_Courier Company</vt:lpstr>
      <vt:lpstr>SKU_Company</vt:lpstr>
      <vt:lpstr>Rates_Courier Company</vt:lpstr>
      <vt:lpstr>Zones Pincode_Company X</vt:lpstr>
      <vt:lpstr>Order Report_Company X</vt:lpstr>
      <vt:lpstr>Total Calculations_Company</vt:lpstr>
      <vt:lpstr>Summary Table_Company</vt:lpstr>
      <vt:lpstr>Order Level Calculation_Company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Syed Rizwan</cp:lastModifiedBy>
  <dcterms:created xsi:type="dcterms:W3CDTF">2021-08-18T00:15:43Z</dcterms:created>
  <dcterms:modified xsi:type="dcterms:W3CDTF">2023-10-09T13:23:00Z</dcterms:modified>
</cp:coreProperties>
</file>